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BD8DBC85-B56E-4D23-AB5C-474070D6E15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L6" i="1" s="1"/>
  <c r="L19" i="1" s="1"/>
  <c r="L24" i="1" s="1"/>
  <c r="I6" i="3"/>
  <c r="J6" i="3"/>
  <c r="K6" i="3"/>
  <c r="B6" i="3"/>
  <c r="C5" i="1"/>
  <c r="D5" i="1"/>
  <c r="D6" i="1" s="1"/>
  <c r="D19" i="1" s="1"/>
  <c r="E5" i="1"/>
  <c r="F5" i="1"/>
  <c r="G5" i="1"/>
  <c r="G6" i="1" s="1"/>
  <c r="G19" i="1" s="1"/>
  <c r="H5" i="1"/>
  <c r="I5" i="1"/>
  <c r="J5" i="1"/>
  <c r="K5" i="1"/>
  <c r="B5" i="1"/>
  <c r="K13" i="1"/>
  <c r="J13" i="1"/>
  <c r="B6" i="6"/>
  <c r="C17" i="2"/>
  <c r="D17" i="2"/>
  <c r="D20" i="2" s="1"/>
  <c r="E17" i="2"/>
  <c r="F17" i="2"/>
  <c r="G17" i="2"/>
  <c r="H17" i="2"/>
  <c r="I17" i="2"/>
  <c r="J17" i="2"/>
  <c r="K17" i="2"/>
  <c r="C18" i="2"/>
  <c r="D18" i="2"/>
  <c r="D21" i="2" s="1"/>
  <c r="E18" i="2"/>
  <c r="E21" i="2" s="1"/>
  <c r="F18" i="2"/>
  <c r="F21" i="2" s="1"/>
  <c r="G18" i="2"/>
  <c r="G21" i="2" s="1"/>
  <c r="H18" i="2"/>
  <c r="I18" i="2"/>
  <c r="J18" i="2"/>
  <c r="K18" i="2"/>
  <c r="B17" i="2"/>
  <c r="C4" i="2"/>
  <c r="D4" i="2"/>
  <c r="E24" i="2" s="1"/>
  <c r="E4" i="2"/>
  <c r="E23" i="2" s="1"/>
  <c r="E5" i="2"/>
  <c r="F4" i="2"/>
  <c r="G4" i="2"/>
  <c r="H4" i="2"/>
  <c r="I4" i="2"/>
  <c r="I5" i="2"/>
  <c r="I23" i="2"/>
  <c r="J4" i="2"/>
  <c r="J5" i="2"/>
  <c r="J23" i="2" s="1"/>
  <c r="K4" i="2"/>
  <c r="C5" i="2"/>
  <c r="D5" i="2"/>
  <c r="F5" i="2"/>
  <c r="F23" i="2" s="1"/>
  <c r="G5" i="2"/>
  <c r="G23" i="2" s="1"/>
  <c r="H5" i="2"/>
  <c r="H23" i="2" s="1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E13" i="2"/>
  <c r="F13" i="2"/>
  <c r="F16" i="2" s="1"/>
  <c r="G13" i="2"/>
  <c r="H13" i="2"/>
  <c r="H16" i="2" s="1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B23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D14" i="3" s="1"/>
  <c r="E4" i="3"/>
  <c r="F4" i="3"/>
  <c r="G4" i="3"/>
  <c r="H4" i="3"/>
  <c r="L4" i="1" s="1"/>
  <c r="L23" i="1" s="1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L10" i="1" s="1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L12" i="1" s="1"/>
  <c r="L13" i="1" s="1"/>
  <c r="L14" i="1" s="1"/>
  <c r="L25" i="1" s="1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6" i="1" s="1"/>
  <c r="E19" i="1" s="1"/>
  <c r="F4" i="1"/>
  <c r="G4" i="1"/>
  <c r="G20" i="2" s="1"/>
  <c r="H4" i="1"/>
  <c r="I4" i="1"/>
  <c r="I6" i="1" s="1"/>
  <c r="I19" i="1" s="1"/>
  <c r="J4" i="1"/>
  <c r="J6" i="1" s="1"/>
  <c r="J19" i="1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G13" i="1" s="1"/>
  <c r="G14" i="1" s="1"/>
  <c r="H12" i="1"/>
  <c r="H13" i="1" s="1"/>
  <c r="I12" i="1"/>
  <c r="I13" i="1" s="1"/>
  <c r="J12" i="1"/>
  <c r="K12" i="1"/>
  <c r="C15" i="1"/>
  <c r="D15" i="1"/>
  <c r="E15" i="1"/>
  <c r="F15" i="1"/>
  <c r="G15" i="1"/>
  <c r="H15" i="1"/>
  <c r="I15" i="1"/>
  <c r="J15" i="1"/>
  <c r="J14" i="1"/>
  <c r="K15" i="1"/>
  <c r="K14" i="1" s="1"/>
  <c r="B15" i="1"/>
  <c r="B7" i="1"/>
  <c r="B4" i="1"/>
  <c r="A1" i="1"/>
  <c r="A1" i="2" s="1"/>
  <c r="A1" i="4" s="1"/>
  <c r="E1" i="6"/>
  <c r="H1" i="1" s="1"/>
  <c r="E1" i="2"/>
  <c r="E1" i="3"/>
  <c r="K23" i="2"/>
  <c r="C23" i="2"/>
  <c r="K16" i="2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E14" i="3"/>
  <c r="G14" i="3"/>
  <c r="J20" i="2"/>
  <c r="C20" i="2"/>
  <c r="E20" i="2"/>
  <c r="N11" i="1" l="1"/>
  <c r="M11" i="1"/>
  <c r="I14" i="1"/>
  <c r="K25" i="1" s="1"/>
  <c r="M25" i="1" s="1"/>
  <c r="M14" i="1" s="1"/>
  <c r="J23" i="1"/>
  <c r="I24" i="1"/>
  <c r="K20" i="2"/>
  <c r="B16" i="2"/>
  <c r="I24" i="2"/>
  <c r="H24" i="2"/>
  <c r="G24" i="2"/>
  <c r="D13" i="1"/>
  <c r="E13" i="1" s="1"/>
  <c r="E14" i="1" s="1"/>
  <c r="I25" i="1" s="1"/>
  <c r="D24" i="2"/>
  <c r="H14" i="1"/>
  <c r="J25" i="1" s="1"/>
  <c r="I23" i="1"/>
  <c r="L7" i="1"/>
  <c r="H23" i="1"/>
  <c r="N23" i="1" s="1"/>
  <c r="N4" i="1" s="1"/>
  <c r="K24" i="2"/>
  <c r="F20" i="2"/>
  <c r="J24" i="2"/>
  <c r="A1" i="3"/>
  <c r="B20" i="2"/>
  <c r="B6" i="1"/>
  <c r="B19" i="1" s="1"/>
  <c r="H24" i="1" s="1"/>
  <c r="L8" i="1"/>
  <c r="N8" i="1" s="1"/>
  <c r="L9" i="1"/>
  <c r="M9" i="1" s="1"/>
  <c r="E16" i="2"/>
  <c r="B14" i="3"/>
  <c r="D23" i="2"/>
  <c r="D14" i="1"/>
  <c r="B14" i="1"/>
  <c r="H25" i="1" s="1"/>
  <c r="N25" i="1" s="1"/>
  <c r="N14" i="1" s="1"/>
  <c r="C14" i="3"/>
  <c r="I16" i="2"/>
  <c r="C24" i="2"/>
  <c r="K24" i="1"/>
  <c r="F24" i="2"/>
  <c r="M24" i="1"/>
  <c r="M8" i="1"/>
  <c r="I20" i="2"/>
  <c r="J24" i="1"/>
  <c r="H20" i="2"/>
  <c r="K23" i="1"/>
  <c r="M23" i="1" s="1"/>
  <c r="M4" i="1" s="1"/>
  <c r="H6" i="1"/>
  <c r="H19" i="1" s="1"/>
  <c r="F6" i="1"/>
  <c r="F19" i="1" s="1"/>
  <c r="E1" i="4"/>
  <c r="N24" i="1" l="1"/>
  <c r="N9" i="1"/>
  <c r="N6" i="1"/>
  <c r="N10" i="1" s="1"/>
  <c r="N12" i="1" s="1"/>
  <c r="N13" i="1" s="1"/>
  <c r="N15" i="1" s="1"/>
  <c r="N5" i="1"/>
  <c r="M6" i="1"/>
  <c r="M10" i="1" s="1"/>
  <c r="M12" i="1" s="1"/>
  <c r="M13" i="1" s="1"/>
  <c r="M15" i="1" s="1"/>
  <c r="M5" i="1" l="1"/>
</calcChain>
</file>

<file path=xl/sharedStrings.xml><?xml version="1.0" encoding="utf-8"?>
<sst xmlns="http://schemas.openxmlformats.org/spreadsheetml/2006/main" count="132" uniqueCount="81">
  <si>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</si>
  <si>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</si>
  <si>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</si>
  <si>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</si>
  <si>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</si>
  <si>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</si>
  <si>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</si>
  <si>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</si>
  <si>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</si>
  <si>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</si>
  <si>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</si>
  <si>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</si>
  <si>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</si>
  <si>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</si>
  <si>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</si>
  <si>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</si>
  <si>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</si>
  <si>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</si>
  <si>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</si>
  <si>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</si>
  <si>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</si>
  <si>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</si>
  <si>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</si>
  <si>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</si>
  <si>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</si>
  <si>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</si>
  <si>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</si>
  <si>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</si>
  <si>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</si>
  <si>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</si>
  <si>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</si>
  <si>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</si>
  <si>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</si>
  <si>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</si>
  <si>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</si>
  <si>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</si>
  <si>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</si>
  <si>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</si>
  <si>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</si>
  <si>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</si>
  <si>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</si>
  <si>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</si>
  <si>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</si>
  <si>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</si>
  <si>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</si>
  <si>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</si>
  <si>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</si>
  <si>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</si>
  <si>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</si>
  <si>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</si>
  <si>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</si>
  <si>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</si>
  <si>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</si>
  <si>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</si>
  <si>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HCL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</si>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</sst>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61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N38" sqref="N38"/>
    </sheetView>
  </sheetViews>
  <sheetFormatPr defaultColWidth="8.796875" defaultRowHeight="14.25" x14ac:dyDescent="0.45"/>
  <cols>
    <col min="1" max="1" width="20.6640625" customWidth="1"/>
    <col min="2" max="6" width="13.46484375" customWidth="1"/>
    <col min="7" max="7" width="14.796875" bestFit="1" customWidth="1"/>
    <col min="8" max="11" width="13.46484375" customWidth="1"/>
    <col min="12" max="12" width="13.33203125" customWidth="1"/>
    <col min="13" max="14" width="12.1328125" customWidth="1"/>
  </cols>
  <sheetData>
    <row r="1" spans="1:14" s="2" customFormat="1" x14ac:dyDescent="0.45">
      <c r="A1" s="2" t="str">
        <f>'Data Sheet'!B1</f>
        <v>HCL TECHNOLOGIES LTD</v>
      </c>
      <c r="H1" t="str">
        <f>UPDATE</f>
        <v/>
      </c>
      <c r="J1" s="3"/>
      <c r="K1" s="3"/>
    </row>
    <row r="3" spans="1:14" s="2" customFormat="1" x14ac:dyDescent="0.4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45">
      <c r="A4" s="2" t="s">
        <v>6</v>
      </c>
      <c r="B4" s="1">
        <f>'Data Sheet'!B17</f>
        <v>47568</v>
      </c>
      <c r="C4" s="1">
        <f>'Data Sheet'!C17</f>
        <v>50569</v>
      </c>
      <c r="D4" s="1">
        <f>'Data Sheet'!D17</f>
        <v>60427</v>
      </c>
      <c r="E4" s="1">
        <f>'Data Sheet'!E17</f>
        <v>70676</v>
      </c>
      <c r="F4" s="1">
        <f>'Data Sheet'!F17</f>
        <v>75379</v>
      </c>
      <c r="G4" s="1">
        <f>'Data Sheet'!G17</f>
        <v>85651</v>
      </c>
      <c r="H4" s="1">
        <f>'Data Sheet'!H17</f>
        <v>101456</v>
      </c>
      <c r="I4" s="1">
        <f>'Data Sheet'!I17</f>
        <v>109913</v>
      </c>
      <c r="J4" s="1">
        <f>'Data Sheet'!J17</f>
        <v>117055</v>
      </c>
      <c r="K4" s="1">
        <f>'Data Sheet'!K17</f>
        <v>130144</v>
      </c>
      <c r="L4" s="1">
        <f>SUM(Quarters!H4:K4)</f>
        <v>134374</v>
      </c>
      <c r="M4" s="1">
        <f>$K4+M23*K4</f>
        <v>144696.60190508736</v>
      </c>
      <c r="N4" s="1">
        <f>$K4+N23*L4</f>
        <v>141773.76337484343</v>
      </c>
    </row>
    <row r="5" spans="1:14" x14ac:dyDescent="0.45">
      <c r="A5" t="s">
        <v>7</v>
      </c>
      <c r="B5" s="6">
        <f>SUM('Data Sheet'!B18,'Data Sheet'!B20:B24, -1*'Data Sheet'!B19)</f>
        <v>37178</v>
      </c>
      <c r="C5" s="6">
        <f>SUM('Data Sheet'!C18,'Data Sheet'!C20:C24, -1*'Data Sheet'!C19)</f>
        <v>39323</v>
      </c>
      <c r="D5" s="6">
        <f>SUM('Data Sheet'!D18,'Data Sheet'!D20:D24, -1*'Data Sheet'!D19)</f>
        <v>46501</v>
      </c>
      <c r="E5" s="6">
        <f>SUM('Data Sheet'!E18,'Data Sheet'!E20:E24, -1*'Data Sheet'!E19)</f>
        <v>53360</v>
      </c>
      <c r="F5" s="6">
        <f>SUM('Data Sheet'!F18,'Data Sheet'!F20:F24, -1*'Data Sheet'!F19)</f>
        <v>55331</v>
      </c>
      <c r="G5" s="6">
        <f>SUM('Data Sheet'!G18,'Data Sheet'!G20:G24, -1*'Data Sheet'!G19)</f>
        <v>65122</v>
      </c>
      <c r="H5" s="6">
        <f>SUM('Data Sheet'!H18,'Data Sheet'!H20:H24, -1*'Data Sheet'!H19)</f>
        <v>78828</v>
      </c>
      <c r="I5" s="6">
        <f>SUM('Data Sheet'!I18,'Data Sheet'!I20:I24, -1*'Data Sheet'!I19)</f>
        <v>85715</v>
      </c>
      <c r="J5" s="6">
        <f>SUM('Data Sheet'!J18,'Data Sheet'!J20:J24, -1*'Data Sheet'!J19)</f>
        <v>91551</v>
      </c>
      <c r="K5" s="6">
        <f>SUM('Data Sheet'!K18,'Data Sheet'!K20:K24, -1*'Data Sheet'!K19)</f>
        <v>103392</v>
      </c>
      <c r="L5" s="6">
        <f>SUM(Quarters!H5:K5)</f>
        <v>106835</v>
      </c>
      <c r="M5" s="6">
        <f t="shared" ref="M5:N5" si="0">M4-M6</f>
        <v>113718.55019567533</v>
      </c>
      <c r="N5" s="6">
        <f t="shared" si="0"/>
        <v>112718.23425775372</v>
      </c>
    </row>
    <row r="6" spans="1:14" s="2" customFormat="1" x14ac:dyDescent="0.45">
      <c r="A6" s="2" t="s">
        <v>8</v>
      </c>
      <c r="B6" s="1">
        <f>B4-B5</f>
        <v>10390</v>
      </c>
      <c r="C6" s="1">
        <f t="shared" ref="C6:K6" si="1">C4-C5</f>
        <v>11246</v>
      </c>
      <c r="D6" s="1">
        <f t="shared" si="1"/>
        <v>13926</v>
      </c>
      <c r="E6" s="1">
        <f t="shared" si="1"/>
        <v>17316</v>
      </c>
      <c r="F6" s="1">
        <f t="shared" si="1"/>
        <v>20048</v>
      </c>
      <c r="G6" s="1">
        <f t="shared" si="1"/>
        <v>20529</v>
      </c>
      <c r="H6" s="1">
        <f t="shared" si="1"/>
        <v>22628</v>
      </c>
      <c r="I6" s="1">
        <f t="shared" si="1"/>
        <v>24198</v>
      </c>
      <c r="J6" s="1">
        <f t="shared" si="1"/>
        <v>25504</v>
      </c>
      <c r="K6" s="1">
        <f t="shared" si="1"/>
        <v>26752</v>
      </c>
      <c r="L6" s="1">
        <f>SUM(Quarters!H6:K6)</f>
        <v>27539</v>
      </c>
      <c r="M6" s="1">
        <f>M4*M24</f>
        <v>30978.05170941203</v>
      </c>
      <c r="N6" s="1">
        <f>N4*N24</f>
        <v>29055.529117089714</v>
      </c>
    </row>
    <row r="7" spans="1:14" x14ac:dyDescent="0.45">
      <c r="A7" t="s">
        <v>9</v>
      </c>
      <c r="B7" s="6">
        <f>'Data Sheet'!B25</f>
        <v>1069</v>
      </c>
      <c r="C7" s="6">
        <f>'Data Sheet'!C25</f>
        <v>1230</v>
      </c>
      <c r="D7" s="6">
        <f>'Data Sheet'!D25</f>
        <v>943</v>
      </c>
      <c r="E7" s="6">
        <f>'Data Sheet'!E25</f>
        <v>589</v>
      </c>
      <c r="F7" s="6">
        <f>'Data Sheet'!F25</f>
        <v>927</v>
      </c>
      <c r="G7" s="6">
        <f>'Data Sheet'!G25</f>
        <v>1067</v>
      </c>
      <c r="H7" s="6">
        <f>'Data Sheet'!H25</f>
        <v>1358</v>
      </c>
      <c r="I7" s="6">
        <f>'Data Sheet'!I25</f>
        <v>1495</v>
      </c>
      <c r="J7" s="6">
        <f>'Data Sheet'!J25</f>
        <v>2485</v>
      </c>
      <c r="K7" s="6">
        <f>'Data Sheet'!K25</f>
        <v>574</v>
      </c>
      <c r="L7" s="6">
        <f>SUM(Quarters!H7:K7)</f>
        <v>527</v>
      </c>
      <c r="M7" s="6">
        <v>0</v>
      </c>
      <c r="N7" s="6">
        <v>0</v>
      </c>
    </row>
    <row r="8" spans="1:14" x14ac:dyDescent="0.45">
      <c r="A8" t="s">
        <v>10</v>
      </c>
      <c r="B8" s="6">
        <f>'Data Sheet'!B26</f>
        <v>828</v>
      </c>
      <c r="C8" s="6">
        <f>'Data Sheet'!C26</f>
        <v>1383</v>
      </c>
      <c r="D8" s="6">
        <f>'Data Sheet'!D26</f>
        <v>2073</v>
      </c>
      <c r="E8" s="6">
        <f>'Data Sheet'!E26</f>
        <v>3420</v>
      </c>
      <c r="F8" s="6">
        <f>'Data Sheet'!F26</f>
        <v>4611</v>
      </c>
      <c r="G8" s="6">
        <f>'Data Sheet'!G26</f>
        <v>4326</v>
      </c>
      <c r="H8" s="6">
        <f>'Data Sheet'!H26</f>
        <v>4145</v>
      </c>
      <c r="I8" s="6">
        <f>'Data Sheet'!I26</f>
        <v>4173</v>
      </c>
      <c r="J8" s="6">
        <f>'Data Sheet'!J26</f>
        <v>4084</v>
      </c>
      <c r="K8" s="6">
        <f>'Data Sheet'!K26</f>
        <v>4355</v>
      </c>
      <c r="L8" s="6">
        <f>SUM(Quarters!H8:K8)</f>
        <v>4301</v>
      </c>
      <c r="M8" s="6">
        <f>+$L8</f>
        <v>4301</v>
      </c>
      <c r="N8" s="6">
        <f>+$L8</f>
        <v>4301</v>
      </c>
    </row>
    <row r="9" spans="1:14" x14ac:dyDescent="0.45">
      <c r="A9" t="s">
        <v>11</v>
      </c>
      <c r="B9" s="6">
        <f>'Data Sheet'!B27</f>
        <v>89</v>
      </c>
      <c r="C9" s="6">
        <f>'Data Sheet'!C27</f>
        <v>69</v>
      </c>
      <c r="D9" s="6">
        <f>'Data Sheet'!D27</f>
        <v>174</v>
      </c>
      <c r="E9" s="6">
        <f>'Data Sheet'!E27</f>
        <v>505</v>
      </c>
      <c r="F9" s="6">
        <f>'Data Sheet'!F27</f>
        <v>511</v>
      </c>
      <c r="G9" s="6">
        <f>'Data Sheet'!G27</f>
        <v>319</v>
      </c>
      <c r="H9" s="6">
        <f>'Data Sheet'!H27</f>
        <v>353</v>
      </c>
      <c r="I9" s="6">
        <f>'Data Sheet'!I27</f>
        <v>553</v>
      </c>
      <c r="J9" s="6">
        <f>'Data Sheet'!J27</f>
        <v>644</v>
      </c>
      <c r="K9" s="6">
        <f>'Data Sheet'!K27</f>
        <v>869</v>
      </c>
      <c r="L9" s="6">
        <f>SUM(Quarters!H9:K9)</f>
        <v>744</v>
      </c>
      <c r="M9" s="6">
        <f>+$L9</f>
        <v>744</v>
      </c>
      <c r="N9" s="6">
        <f>+$L9</f>
        <v>744</v>
      </c>
    </row>
    <row r="10" spans="1:14" x14ac:dyDescent="0.45">
      <c r="A10" t="s">
        <v>12</v>
      </c>
      <c r="B10" s="6">
        <f>'Data Sheet'!B28</f>
        <v>10542</v>
      </c>
      <c r="C10" s="6">
        <f>'Data Sheet'!C28</f>
        <v>11024</v>
      </c>
      <c r="D10" s="6">
        <f>'Data Sheet'!D28</f>
        <v>12622</v>
      </c>
      <c r="E10" s="6">
        <f>'Data Sheet'!E28</f>
        <v>13980</v>
      </c>
      <c r="F10" s="6">
        <f>'Data Sheet'!F28</f>
        <v>15853</v>
      </c>
      <c r="G10" s="6">
        <f>'Data Sheet'!G28</f>
        <v>16951</v>
      </c>
      <c r="H10" s="6">
        <f>'Data Sheet'!H28</f>
        <v>19488</v>
      </c>
      <c r="I10" s="6">
        <f>'Data Sheet'!I28</f>
        <v>20967</v>
      </c>
      <c r="J10" s="6">
        <f>'Data Sheet'!J28</f>
        <v>23261</v>
      </c>
      <c r="K10" s="6">
        <f>'Data Sheet'!K28</f>
        <v>22102</v>
      </c>
      <c r="L10" s="6">
        <f>SUM(Quarters!H10:K10)</f>
        <v>23021</v>
      </c>
      <c r="M10" s="6">
        <f>M6+M7-SUM(M8:M9)</f>
        <v>25933.05170941203</v>
      </c>
      <c r="N10" s="6">
        <f>N6+N7-SUM(N8:N9)</f>
        <v>24010.529117089714</v>
      </c>
    </row>
    <row r="11" spans="1:14" x14ac:dyDescent="0.45">
      <c r="A11" t="s">
        <v>13</v>
      </c>
      <c r="B11" s="6">
        <f>'Data Sheet'!B29</f>
        <v>1936</v>
      </c>
      <c r="C11" s="6">
        <f>'Data Sheet'!C29</f>
        <v>2302</v>
      </c>
      <c r="D11" s="6">
        <f>'Data Sheet'!D29</f>
        <v>2502</v>
      </c>
      <c r="E11" s="6">
        <f>'Data Sheet'!E29</f>
        <v>2923</v>
      </c>
      <c r="F11" s="6">
        <f>'Data Sheet'!F29</f>
        <v>4684</v>
      </c>
      <c r="G11" s="6">
        <f>'Data Sheet'!G29</f>
        <v>3428</v>
      </c>
      <c r="H11" s="6">
        <f>'Data Sheet'!H29</f>
        <v>4643</v>
      </c>
      <c r="I11" s="6">
        <f>'Data Sheet'!I29</f>
        <v>5257</v>
      </c>
      <c r="J11" s="6">
        <f>'Data Sheet'!J29</f>
        <v>5862</v>
      </c>
      <c r="K11" s="6">
        <f>'Data Sheet'!K29</f>
        <v>5450</v>
      </c>
      <c r="L11" s="6">
        <f>SUM(Quarters!H11:K11)</f>
        <v>5587</v>
      </c>
      <c r="M11" s="7">
        <f>IF($L10&gt;0,$L11/$L10,0)</f>
        <v>0.24269145562747058</v>
      </c>
      <c r="N11" s="7">
        <f>IF($L10&gt;0,$L11/$L10,0)</f>
        <v>0.24269145562747058</v>
      </c>
    </row>
    <row r="12" spans="1:14" s="2" customFormat="1" x14ac:dyDescent="0.45">
      <c r="A12" s="2" t="s">
        <v>14</v>
      </c>
      <c r="B12" s="1">
        <f>'Data Sheet'!B30</f>
        <v>8606</v>
      </c>
      <c r="C12" s="1">
        <f>'Data Sheet'!C30</f>
        <v>8721</v>
      </c>
      <c r="D12" s="1">
        <f>'Data Sheet'!D30</f>
        <v>10120</v>
      </c>
      <c r="E12" s="1">
        <f>'Data Sheet'!E30</f>
        <v>11057</v>
      </c>
      <c r="F12" s="1">
        <f>'Data Sheet'!F30</f>
        <v>11145</v>
      </c>
      <c r="G12" s="1">
        <f>'Data Sheet'!G30</f>
        <v>13499</v>
      </c>
      <c r="H12" s="1">
        <f>'Data Sheet'!H30</f>
        <v>14851</v>
      </c>
      <c r="I12" s="1">
        <f>'Data Sheet'!I30</f>
        <v>15702</v>
      </c>
      <c r="J12" s="1">
        <f>'Data Sheet'!J30</f>
        <v>17390</v>
      </c>
      <c r="K12" s="1">
        <f>'Data Sheet'!K30</f>
        <v>16642</v>
      </c>
      <c r="L12" s="1">
        <f>SUM(Quarters!H12:K12)</f>
        <v>17423</v>
      </c>
      <c r="M12" s="1">
        <f>M10-M11*M10</f>
        <v>19639.32164119236</v>
      </c>
      <c r="N12" s="1">
        <f>N10-N11*N10</f>
        <v>18183.378855277446</v>
      </c>
    </row>
    <row r="13" spans="1:14" x14ac:dyDescent="0.45">
      <c r="A13" t="s">
        <v>48</v>
      </c>
      <c r="B13" s="6">
        <f>IF('Data Sheet'!B93&gt;0,B12/'Data Sheet'!B93,0)</f>
        <v>30.158396411550321</v>
      </c>
      <c r="C13" s="6">
        <f>IF('Data Sheet'!C93&gt;0,C12/'Data Sheet'!C93,0)</f>
        <v>31.319806069312264</v>
      </c>
      <c r="D13" s="6">
        <f>IF('Data Sheet'!D93&gt;0,D12/'Data Sheet'!D93,0)</f>
        <v>37.307380373073805</v>
      </c>
      <c r="E13" s="6">
        <f>IF('Data Sheet'!E93&gt;0,E12/'Data Sheet'!E93,0)</f>
        <v>40.745108154917638</v>
      </c>
      <c r="F13" s="6">
        <f>IF('Data Sheet'!F93&gt;0,F12/'Data Sheet'!F93,0)</f>
        <v>41.069388657552416</v>
      </c>
      <c r="G13" s="6">
        <f>IF('Data Sheet'!G93&gt;0,G12/'Data Sheet'!G93,0)</f>
        <v>49.743892103032756</v>
      </c>
      <c r="H13" s="6">
        <f>IF('Data Sheet'!H93&gt;0,H12/'Data Sheet'!H93,0)</f>
        <v>54.726019825330731</v>
      </c>
      <c r="I13" s="6">
        <f>IF('Data Sheet'!I93&gt;0,I12/'Data Sheet'!I93,0)</f>
        <v>57.861959686037515</v>
      </c>
      <c r="J13" s="6">
        <f>IF('Data Sheet'!J93&gt;0,J12/'Data Sheet'!J93,0)</f>
        <v>64.082249327486451</v>
      </c>
      <c r="K13" s="6">
        <f>IF('Data Sheet'!K93&gt;0,K12/'Data Sheet'!K93,0)</f>
        <v>61.325865055090837</v>
      </c>
      <c r="L13" s="6">
        <f>IF('Data Sheet'!$B6&gt;0,'Profit &amp; Loss'!L12/'Data Sheet'!$B6,0)</f>
        <v>64.396825207448686</v>
      </c>
      <c r="M13" s="6">
        <f>IF('Data Sheet'!$B6&gt;0,'Profit &amp; Loss'!M12/'Data Sheet'!$B6,0)</f>
        <v>72.588530271522046</v>
      </c>
      <c r="N13" s="6">
        <f>IF('Data Sheet'!$B6&gt;0,'Profit &amp; Loss'!N12/'Data Sheet'!$B6,0)</f>
        <v>67.207247306670496</v>
      </c>
    </row>
    <row r="14" spans="1:14" x14ac:dyDescent="0.45">
      <c r="A14" t="s">
        <v>16</v>
      </c>
      <c r="B14" s="6">
        <f>IF(B15&gt;0,B15/B13,"")</f>
        <v>14.502760492679526</v>
      </c>
      <c r="C14" s="6">
        <f t="shared" ref="C14:K14" si="2">IF(C15&gt;0,C15/C13,"")</f>
        <v>15.463058708863663</v>
      </c>
      <c r="D14" s="6">
        <f t="shared" si="2"/>
        <v>14.57432804347826</v>
      </c>
      <c r="E14" s="6">
        <f t="shared" si="2"/>
        <v>10.710488197521931</v>
      </c>
      <c r="F14" s="6">
        <f t="shared" si="2"/>
        <v>23.926579676985195</v>
      </c>
      <c r="G14" s="6">
        <f t="shared" si="2"/>
        <v>23.394832024594415</v>
      </c>
      <c r="H14" s="6">
        <f t="shared" si="2"/>
        <v>19.830603494714161</v>
      </c>
      <c r="I14" s="6">
        <f t="shared" si="2"/>
        <v>26.676421061011336</v>
      </c>
      <c r="J14" s="6">
        <f t="shared" si="2"/>
        <v>24.85087550316274</v>
      </c>
      <c r="K14" s="6">
        <f t="shared" si="2"/>
        <v>21.87657685374354</v>
      </c>
      <c r="L14" s="6">
        <f t="shared" ref="L14" si="3">IF(L13&gt;0,L15/L13,0)</f>
        <v>21.119053549905296</v>
      </c>
      <c r="M14" s="6">
        <f>M25</f>
        <v>23.630731741955728</v>
      </c>
      <c r="N14" s="6">
        <f>N25</f>
        <v>19.720507055150911</v>
      </c>
    </row>
    <row r="15" spans="1:14" s="2" customFormat="1" x14ac:dyDescent="0.45">
      <c r="A15" s="2" t="s">
        <v>49</v>
      </c>
      <c r="B15" s="1">
        <f>'Data Sheet'!B90</f>
        <v>437.38</v>
      </c>
      <c r="C15" s="1">
        <f>'Data Sheet'!C90</f>
        <v>484.3</v>
      </c>
      <c r="D15" s="1">
        <f>'Data Sheet'!D90</f>
        <v>543.73</v>
      </c>
      <c r="E15" s="1">
        <f>'Data Sheet'!E90</f>
        <v>436.4</v>
      </c>
      <c r="F15" s="1">
        <f>'Data Sheet'!F90</f>
        <v>982.65</v>
      </c>
      <c r="G15" s="1">
        <f>'Data Sheet'!G90</f>
        <v>1163.75</v>
      </c>
      <c r="H15" s="1">
        <f>'Data Sheet'!H90</f>
        <v>1085.25</v>
      </c>
      <c r="I15" s="1">
        <f>'Data Sheet'!I90</f>
        <v>1543.55</v>
      </c>
      <c r="J15" s="1">
        <f>'Data Sheet'!J90</f>
        <v>1592.5</v>
      </c>
      <c r="K15" s="1">
        <f>'Data Sheet'!K90</f>
        <v>1341.6</v>
      </c>
      <c r="L15" s="1">
        <f>'Data Sheet'!B8</f>
        <v>1360</v>
      </c>
      <c r="M15" s="8">
        <f>M13*M14</f>
        <v>1715.3200863891702</v>
      </c>
      <c r="N15" s="9">
        <f>N13*N14</f>
        <v>1325.3609946684676</v>
      </c>
    </row>
    <row r="17" spans="1:14" s="2" customFormat="1" x14ac:dyDescent="0.45">
      <c r="A17" s="2" t="s">
        <v>15</v>
      </c>
    </row>
    <row r="18" spans="1:14" x14ac:dyDescent="0.45">
      <c r="A18" t="s">
        <v>17</v>
      </c>
      <c r="B18" s="5">
        <f>IF('Data Sheet'!B30&gt;0, 'Data Sheet'!B31/'Data Sheet'!B30, 0)</f>
        <v>0.39739716476876596</v>
      </c>
      <c r="C18" s="5">
        <f>IF('Data Sheet'!C30&gt;0, 'Data Sheet'!C31/'Data Sheet'!C30, 0)</f>
        <v>0.19126246990024079</v>
      </c>
      <c r="D18" s="5">
        <f>IF('Data Sheet'!D30&gt;0, 'Data Sheet'!D31/'Data Sheet'!D30, 0)</f>
        <v>0.10711462450592886</v>
      </c>
      <c r="E18" s="5">
        <f>IF('Data Sheet'!E30&gt;0, 'Data Sheet'!E31/'Data Sheet'!E30, 0)</f>
        <v>0.24554580808537577</v>
      </c>
      <c r="F18" s="5">
        <f>IF('Data Sheet'!F30&gt;0, 'Data Sheet'!F31/'Data Sheet'!F30, 0)</f>
        <v>0.24360699865410498</v>
      </c>
      <c r="G18" s="5">
        <f>IF('Data Sheet'!G30&gt;0, 'Data Sheet'!G31/'Data Sheet'!G30, 0)</f>
        <v>0.84472923920290388</v>
      </c>
      <c r="H18" s="5">
        <f>IF('Data Sheet'!H30&gt;0, 'Data Sheet'!H31/'Data Sheet'!H30, 0)</f>
        <v>0.87751666554440777</v>
      </c>
      <c r="I18" s="5">
        <f>IF('Data Sheet'!I30&gt;0, 'Data Sheet'!I31/'Data Sheet'!I30, 0)</f>
        <v>0.89912113106610625</v>
      </c>
      <c r="J18" s="5">
        <f>IF('Data Sheet'!J30&gt;0, 'Data Sheet'!J31/'Data Sheet'!J30, 0)</f>
        <v>0.93674525589419211</v>
      </c>
      <c r="K18" s="5">
        <f>IF('Data Sheet'!K30&gt;0, 'Data Sheet'!K31/'Data Sheet'!K30, 0)</f>
        <v>0.88096382646316551</v>
      </c>
    </row>
    <row r="19" spans="1:14" x14ac:dyDescent="0.45">
      <c r="A19" t="s">
        <v>18</v>
      </c>
      <c r="B19" s="5">
        <f t="shared" ref="B19:L19" si="4">IF(B6&gt;0,B6/B4,0)</f>
        <v>0.21842415068953919</v>
      </c>
      <c r="C19" s="5">
        <f t="shared" ref="C19:K19" si="5">IF(C6&gt;0,C6/C4,0)</f>
        <v>0.22238921078130872</v>
      </c>
      <c r="D19" s="5">
        <f t="shared" si="5"/>
        <v>0.2304598937561024</v>
      </c>
      <c r="E19" s="5">
        <f t="shared" si="5"/>
        <v>0.24500537664836719</v>
      </c>
      <c r="F19" s="5">
        <f t="shared" si="5"/>
        <v>0.26596266864776663</v>
      </c>
      <c r="G19" s="5">
        <f t="shared" si="5"/>
        <v>0.23968196518429441</v>
      </c>
      <c r="H19" s="5">
        <f t="shared" si="5"/>
        <v>0.22303264469326606</v>
      </c>
      <c r="I19" s="5">
        <f t="shared" si="5"/>
        <v>0.22015594151738194</v>
      </c>
      <c r="J19" s="5">
        <f t="shared" si="5"/>
        <v>0.21788048353338174</v>
      </c>
      <c r="K19" s="5">
        <f t="shared" si="5"/>
        <v>0.20555692156380626</v>
      </c>
      <c r="L19" s="5">
        <f t="shared" si="4"/>
        <v>0.20494292050545493</v>
      </c>
    </row>
    <row r="20" spans="1:14" x14ac:dyDescent="0.4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4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45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45">
      <c r="A23"/>
      <c r="B23"/>
      <c r="C23"/>
      <c r="D23"/>
      <c r="E23"/>
      <c r="F23"/>
      <c r="G23" t="s">
        <v>22</v>
      </c>
      <c r="H23" s="5">
        <f>IF(B4=0,"",POWER($K4/B4,1/9)-1)</f>
        <v>0.1183241291982593</v>
      </c>
      <c r="I23" s="5">
        <f>IF(D4=0,"",POWER($K4/D4,1/7)-1)</f>
        <v>0.1158325260113986</v>
      </c>
      <c r="J23" s="5">
        <f>IF(F4=0,"",POWER($K4/F4,1/5)-1)</f>
        <v>0.11541057030004609</v>
      </c>
      <c r="K23" s="5">
        <f>IF(H4=0,"",POWER($K4/H4, 1/3)-1)</f>
        <v>8.6547720353963076E-2</v>
      </c>
      <c r="L23" s="5">
        <f>IF(ISERROR(MAX(IF(J4=0,"",(K4-J4)/J4),IF(K4=0,"",(L4-K4)/K4))),"",MAX(IF(J4=0,"",(K4-J4)/J4),IF(K4=0,"",(L4-K4)/K4)))</f>
        <v>0.11181923027636581</v>
      </c>
      <c r="M23" s="16">
        <f>MAX(K23:L23)</f>
        <v>0.11181923027636581</v>
      </c>
      <c r="N23" s="16">
        <f>MIN(H23:L23)</f>
        <v>8.6547720353963076E-2</v>
      </c>
    </row>
    <row r="24" spans="1:14" x14ac:dyDescent="0.45">
      <c r="G24" t="s">
        <v>18</v>
      </c>
      <c r="H24" s="5">
        <f>IF(SUM(B4:$K$4)=0,"",SUMPRODUCT(B19:$K$19,B4:$K$4)/SUM(B4:$K$4))</f>
        <v>0.22682419967060852</v>
      </c>
      <c r="I24" s="5">
        <f>IF(SUM(E4:$K$4)=0,"",SUMPRODUCT(E19:$K$19,E4:$K$4)/SUM(E4:$K$4))</f>
        <v>0.22740969528042487</v>
      </c>
      <c r="J24" s="5">
        <f>IF(SUM(G4:$K$4)=0,"",SUMPRODUCT(G19:$K$19,G4:$K$4)/SUM(G4:$K$4))</f>
        <v>0.21978468226945402</v>
      </c>
      <c r="K24" s="5">
        <f>IF(SUM(I4:$K$4)=0, "", SUMPRODUCT(I19:$K$19,I4:$K$4)/SUM(I4:$K$4))</f>
        <v>0.21408969734985103</v>
      </c>
      <c r="L24" s="5">
        <f>L19</f>
        <v>0.20494292050545493</v>
      </c>
      <c r="M24" s="16">
        <f>MAX(K24:L24)</f>
        <v>0.21408969734985103</v>
      </c>
      <c r="N24" s="16">
        <f>MIN(H24:L24)</f>
        <v>0.20494292050545493</v>
      </c>
    </row>
    <row r="25" spans="1:14" x14ac:dyDescent="0.45">
      <c r="G25" t="s">
        <v>23</v>
      </c>
      <c r="H25" s="6">
        <f>IF(ISERROR(AVERAGEIF(B14:$L14,"&gt;0")),"",AVERAGEIF(B14:$L14,"&gt;0"))</f>
        <v>19.720507055150911</v>
      </c>
      <c r="I25" s="6">
        <f>IF(ISERROR(AVERAGEIF(E14:$L14,"&gt;0")),"",AVERAGEIF(E14:$L14,"&gt;0"))</f>
        <v>21.548178795204826</v>
      </c>
      <c r="J25" s="6">
        <f>IF(ISERROR(AVERAGEIF(G14:$L14,"&gt;0")),"",AVERAGEIF(G14:$L14,"&gt;0"))</f>
        <v>22.958060414521913</v>
      </c>
      <c r="K25" s="6">
        <f>IF(ISERROR(AVERAGEIF(I14:$L14,"&gt;0")),"",AVERAGEIF(I14:$L14,"&gt;0"))</f>
        <v>23.630731741955728</v>
      </c>
      <c r="L25" s="6">
        <f>L14</f>
        <v>21.119053549905296</v>
      </c>
      <c r="M25" s="1">
        <f>MAX(K25:L25)</f>
        <v>23.630731741955728</v>
      </c>
      <c r="N25" s="1">
        <f>MIN(H25:L25)</f>
        <v>19.720507055150911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87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96875" defaultRowHeight="14.25" x14ac:dyDescent="0.45"/>
  <cols>
    <col min="1" max="1" width="20.6640625" customWidth="1"/>
    <col min="2" max="11" width="13.46484375" bestFit="1" customWidth="1"/>
  </cols>
  <sheetData>
    <row r="1" spans="1:11" s="2" customFormat="1" x14ac:dyDescent="0.45">
      <c r="A1" s="2" t="str">
        <f>'Profit &amp; Loss'!A1</f>
        <v>HCL TECHNOLOGIES LTD</v>
      </c>
      <c r="E1" t="str">
        <f>UPDATE</f>
        <v/>
      </c>
      <c r="J1" s="2" t="s">
        <v>1</v>
      </c>
    </row>
    <row r="3" spans="1:11" s="2" customFormat="1" x14ac:dyDescent="0.4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45">
      <c r="A4" s="2" t="s">
        <v>6</v>
      </c>
      <c r="B4" s="1">
        <f>'Data Sheet'!B42</f>
        <v>28499</v>
      </c>
      <c r="C4" s="1">
        <f>'Data Sheet'!C42</f>
        <v>28057</v>
      </c>
      <c r="D4" s="1">
        <f>'Data Sheet'!D42</f>
        <v>28862</v>
      </c>
      <c r="E4" s="1">
        <f>'Data Sheet'!E42</f>
        <v>29890</v>
      </c>
      <c r="F4" s="1">
        <f>'Data Sheet'!F42</f>
        <v>30246</v>
      </c>
      <c r="G4" s="1">
        <f>'Data Sheet'!G42</f>
        <v>30349</v>
      </c>
      <c r="H4" s="1">
        <f>'Data Sheet'!H42</f>
        <v>31942</v>
      </c>
      <c r="I4" s="1">
        <f>'Data Sheet'!I42</f>
        <v>33872</v>
      </c>
      <c r="J4" s="1">
        <f>'Data Sheet'!J42</f>
        <v>33981</v>
      </c>
      <c r="K4" s="1">
        <f>'Data Sheet'!K42</f>
        <v>34579</v>
      </c>
    </row>
    <row r="5" spans="1:11" x14ac:dyDescent="0.45">
      <c r="A5" t="s">
        <v>7</v>
      </c>
      <c r="B5" s="6">
        <f>'Data Sheet'!B43</f>
        <v>22382</v>
      </c>
      <c r="C5" s="6">
        <f>'Data Sheet'!C43</f>
        <v>22264</v>
      </c>
      <c r="D5" s="6">
        <f>'Data Sheet'!D43</f>
        <v>22493</v>
      </c>
      <c r="E5" s="6">
        <f>'Data Sheet'!E43</f>
        <v>23030</v>
      </c>
      <c r="F5" s="6">
        <f>'Data Sheet'!F43</f>
        <v>23764</v>
      </c>
      <c r="G5" s="6">
        <f>'Data Sheet'!G43</f>
        <v>24314</v>
      </c>
      <c r="H5" s="6">
        <f>'Data Sheet'!H43</f>
        <v>25397</v>
      </c>
      <c r="I5" s="6">
        <f>'Data Sheet'!I43</f>
        <v>26460</v>
      </c>
      <c r="J5" s="6">
        <f>'Data Sheet'!J43</f>
        <v>27269</v>
      </c>
      <c r="K5" s="6">
        <f>'Data Sheet'!K43</f>
        <v>27709</v>
      </c>
    </row>
    <row r="6" spans="1:11" s="2" customFormat="1" x14ac:dyDescent="0.45">
      <c r="A6" s="2" t="s">
        <v>8</v>
      </c>
      <c r="B6" s="1">
        <f>'Data Sheet'!B50</f>
        <v>6117</v>
      </c>
      <c r="C6" s="1">
        <f>'Data Sheet'!C50</f>
        <v>5793</v>
      </c>
      <c r="D6" s="1">
        <f>'Data Sheet'!D50</f>
        <v>6369</v>
      </c>
      <c r="E6" s="1">
        <f>'Data Sheet'!E50</f>
        <v>6860</v>
      </c>
      <c r="F6" s="1">
        <f>'Data Sheet'!F50</f>
        <v>6482</v>
      </c>
      <c r="G6" s="1">
        <f>'Data Sheet'!G50</f>
        <v>6035</v>
      </c>
      <c r="H6" s="1">
        <f>'Data Sheet'!H50</f>
        <v>6545</v>
      </c>
      <c r="I6" s="1">
        <f>'Data Sheet'!I50</f>
        <v>7412</v>
      </c>
      <c r="J6" s="1">
        <f>'Data Sheet'!J50</f>
        <v>6712</v>
      </c>
      <c r="K6" s="1">
        <f>'Data Sheet'!K50</f>
        <v>6870</v>
      </c>
    </row>
    <row r="7" spans="1:11" x14ac:dyDescent="0.45">
      <c r="A7" t="s">
        <v>9</v>
      </c>
      <c r="B7" s="6">
        <f>'Data Sheet'!B44</f>
        <v>416</v>
      </c>
      <c r="C7" s="6">
        <f>'Data Sheet'!C44</f>
        <v>1103</v>
      </c>
      <c r="D7" s="6">
        <f>'Data Sheet'!D44</f>
        <v>456</v>
      </c>
      <c r="E7" s="6">
        <f>'Data Sheet'!E44</f>
        <v>477</v>
      </c>
      <c r="F7" s="6">
        <f>'Data Sheet'!F44</f>
        <v>449</v>
      </c>
      <c r="G7" s="6">
        <f>'Data Sheet'!G44</f>
        <v>456</v>
      </c>
      <c r="H7" s="6">
        <f>'Data Sheet'!H44</f>
        <v>415</v>
      </c>
      <c r="I7" s="6">
        <f>'Data Sheet'!I44</f>
        <v>-571</v>
      </c>
      <c r="J7" s="6">
        <f>'Data Sheet'!J44</f>
        <v>322</v>
      </c>
      <c r="K7" s="6">
        <f>'Data Sheet'!K44</f>
        <v>361</v>
      </c>
    </row>
    <row r="8" spans="1:11" x14ac:dyDescent="0.45">
      <c r="A8" t="s">
        <v>10</v>
      </c>
      <c r="B8" s="6">
        <f>'Data Sheet'!B45</f>
        <v>1093</v>
      </c>
      <c r="C8" s="6">
        <f>'Data Sheet'!C45</f>
        <v>998</v>
      </c>
      <c r="D8" s="6">
        <f>'Data Sheet'!D45</f>
        <v>1007</v>
      </c>
      <c r="E8" s="6">
        <f>'Data Sheet'!E45</f>
        <v>1039</v>
      </c>
      <c r="F8" s="6">
        <f>'Data Sheet'!F45</f>
        <v>1040</v>
      </c>
      <c r="G8" s="6">
        <f>'Data Sheet'!G45</f>
        <v>1093</v>
      </c>
      <c r="H8" s="6">
        <f>'Data Sheet'!H45</f>
        <v>1043</v>
      </c>
      <c r="I8" s="6">
        <f>'Data Sheet'!I45</f>
        <v>1127</v>
      </c>
      <c r="J8" s="6">
        <f>'Data Sheet'!J45</f>
        <v>1092</v>
      </c>
      <c r="K8" s="6">
        <f>'Data Sheet'!K45</f>
        <v>1039</v>
      </c>
    </row>
    <row r="9" spans="1:11" x14ac:dyDescent="0.45">
      <c r="A9" t="s">
        <v>11</v>
      </c>
      <c r="B9" s="6">
        <f>'Data Sheet'!B46</f>
        <v>171</v>
      </c>
      <c r="C9" s="6">
        <f>'Data Sheet'!C46</f>
        <v>191</v>
      </c>
      <c r="D9" s="6">
        <f>'Data Sheet'!D46</f>
        <v>131</v>
      </c>
      <c r="E9" s="6">
        <f>'Data Sheet'!E46</f>
        <v>166</v>
      </c>
      <c r="F9" s="6">
        <f>'Data Sheet'!F46</f>
        <v>156</v>
      </c>
      <c r="G9" s="6">
        <f>'Data Sheet'!G46</f>
        <v>209</v>
      </c>
      <c r="H9" s="6">
        <f>'Data Sheet'!H46</f>
        <v>215</v>
      </c>
      <c r="I9" s="6">
        <f>'Data Sheet'!I46</f>
        <v>205</v>
      </c>
      <c r="J9" s="6">
        <f>'Data Sheet'!J46</f>
        <v>240</v>
      </c>
      <c r="K9" s="6">
        <f>'Data Sheet'!K46</f>
        <v>84</v>
      </c>
    </row>
    <row r="10" spans="1:11" x14ac:dyDescent="0.45">
      <c r="A10" t="s">
        <v>12</v>
      </c>
      <c r="B10" s="6">
        <f>'Data Sheet'!B47</f>
        <v>5269</v>
      </c>
      <c r="C10" s="6">
        <f>'Data Sheet'!C47</f>
        <v>5707</v>
      </c>
      <c r="D10" s="6">
        <f>'Data Sheet'!D47</f>
        <v>5687</v>
      </c>
      <c r="E10" s="6">
        <f>'Data Sheet'!E47</f>
        <v>6132</v>
      </c>
      <c r="F10" s="6">
        <f>'Data Sheet'!F47</f>
        <v>5735</v>
      </c>
      <c r="G10" s="6">
        <f>'Data Sheet'!G47</f>
        <v>5189</v>
      </c>
      <c r="H10" s="6">
        <f>'Data Sheet'!H47</f>
        <v>5702</v>
      </c>
      <c r="I10" s="6">
        <f>'Data Sheet'!I47</f>
        <v>5509</v>
      </c>
      <c r="J10" s="6">
        <f>'Data Sheet'!J47</f>
        <v>5702</v>
      </c>
      <c r="K10" s="6">
        <f>'Data Sheet'!K47</f>
        <v>6108</v>
      </c>
    </row>
    <row r="11" spans="1:11" x14ac:dyDescent="0.45">
      <c r="A11" t="s">
        <v>13</v>
      </c>
      <c r="B11" s="6">
        <f>'Data Sheet'!B48</f>
        <v>1274</v>
      </c>
      <c r="C11" s="6">
        <f>'Data Sheet'!C48</f>
        <v>1448</v>
      </c>
      <c r="D11" s="6">
        <f>'Data Sheet'!D48</f>
        <v>1450</v>
      </c>
      <c r="E11" s="6">
        <f>'Data Sheet'!E48</f>
        <v>1538</v>
      </c>
      <c r="F11" s="6">
        <f>'Data Sheet'!F48</f>
        <v>1426</v>
      </c>
      <c r="G11" s="6">
        <f>'Data Sheet'!G48</f>
        <v>1345</v>
      </c>
      <c r="H11" s="6">
        <f>'Data Sheet'!H48</f>
        <v>1466</v>
      </c>
      <c r="I11" s="6">
        <f>'Data Sheet'!I48</f>
        <v>1427</v>
      </c>
      <c r="J11" s="6">
        <f>'Data Sheet'!J48</f>
        <v>1212</v>
      </c>
      <c r="K11" s="6">
        <f>'Data Sheet'!K48</f>
        <v>1482</v>
      </c>
    </row>
    <row r="12" spans="1:11" s="2" customFormat="1" x14ac:dyDescent="0.45">
      <c r="A12" s="2" t="s">
        <v>14</v>
      </c>
      <c r="B12" s="1">
        <f>'Data Sheet'!B49</f>
        <v>3986</v>
      </c>
      <c r="C12" s="1">
        <f>'Data Sheet'!C49</f>
        <v>4257</v>
      </c>
      <c r="D12" s="1">
        <f>'Data Sheet'!D49</f>
        <v>4235</v>
      </c>
      <c r="E12" s="1">
        <f>'Data Sheet'!E49</f>
        <v>4591</v>
      </c>
      <c r="F12" s="1">
        <f>'Data Sheet'!F49</f>
        <v>4307</v>
      </c>
      <c r="G12" s="1">
        <f>'Data Sheet'!G49</f>
        <v>3843</v>
      </c>
      <c r="H12" s="1">
        <f>'Data Sheet'!H49</f>
        <v>4235</v>
      </c>
      <c r="I12" s="1">
        <f>'Data Sheet'!I49</f>
        <v>4076</v>
      </c>
      <c r="J12" s="1">
        <f>'Data Sheet'!J49</f>
        <v>4488</v>
      </c>
      <c r="K12" s="1">
        <f>'Data Sheet'!K49</f>
        <v>4624</v>
      </c>
    </row>
    <row r="14" spans="1:11" s="2" customFormat="1" x14ac:dyDescent="0.45">
      <c r="A14" s="2" t="s">
        <v>18</v>
      </c>
      <c r="B14" s="10">
        <f>IF(B4&gt;0,B6/B4,"")</f>
        <v>0.21463911014421558</v>
      </c>
      <c r="C14" s="10">
        <f t="shared" ref="C14:K14" si="0">IF(C4&gt;0,C6/C4,"")</f>
        <v>0.20647253804754606</v>
      </c>
      <c r="D14" s="10">
        <f t="shared" si="0"/>
        <v>0.2206707781858499</v>
      </c>
      <c r="E14" s="10">
        <f t="shared" si="0"/>
        <v>0.22950819672131148</v>
      </c>
      <c r="F14" s="10">
        <f t="shared" si="0"/>
        <v>0.21430933015935991</v>
      </c>
      <c r="G14" s="10">
        <f t="shared" si="0"/>
        <v>0.19885333948400277</v>
      </c>
      <c r="H14" s="10">
        <f t="shared" si="0"/>
        <v>0.2049026360278004</v>
      </c>
      <c r="I14" s="10">
        <f t="shared" si="0"/>
        <v>0.21882380727444498</v>
      </c>
      <c r="J14" s="10">
        <f t="shared" si="0"/>
        <v>0.19752214472793619</v>
      </c>
      <c r="K14" s="10">
        <f t="shared" si="0"/>
        <v>0.19867549668874171</v>
      </c>
    </row>
    <row r="22" s="19" customFormat="1" x14ac:dyDescent="0.4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96875" defaultRowHeight="14.25" x14ac:dyDescent="0.45"/>
  <cols>
    <col min="1" max="1" width="22.796875" bestFit="1" customWidth="1"/>
    <col min="2" max="2" width="13.46484375" customWidth="1"/>
    <col min="3" max="11" width="15.46484375" customWidth="1"/>
  </cols>
  <sheetData>
    <row r="1" spans="1:11" s="2" customFormat="1" x14ac:dyDescent="0.45">
      <c r="A1" s="2" t="str">
        <f>'Profit &amp; Loss'!A1</f>
        <v>HCL TECHNOLOGIES LTD</v>
      </c>
      <c r="E1" t="str">
        <f>UPDATE</f>
        <v/>
      </c>
      <c r="G1"/>
      <c r="J1" s="2" t="s">
        <v>1</v>
      </c>
    </row>
    <row r="2" spans="1:11" x14ac:dyDescent="0.45">
      <c r="G2" s="2"/>
      <c r="H2" s="2"/>
    </row>
    <row r="3" spans="1:11" x14ac:dyDescent="0.4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45">
      <c r="A4" t="s">
        <v>24</v>
      </c>
      <c r="B4" s="14">
        <f>'Data Sheet'!B57</f>
        <v>285</v>
      </c>
      <c r="C4" s="14">
        <f>'Data Sheet'!C57</f>
        <v>278</v>
      </c>
      <c r="D4" s="14">
        <f>'Data Sheet'!D57</f>
        <v>271</v>
      </c>
      <c r="E4" s="14">
        <f>'Data Sheet'!E57</f>
        <v>543</v>
      </c>
      <c r="F4" s="14">
        <f>'Data Sheet'!F57</f>
        <v>543</v>
      </c>
      <c r="G4" s="14">
        <f>'Data Sheet'!G57</f>
        <v>543</v>
      </c>
      <c r="H4" s="14">
        <f>'Data Sheet'!H57</f>
        <v>543</v>
      </c>
      <c r="I4" s="14">
        <f>'Data Sheet'!I57</f>
        <v>543</v>
      </c>
      <c r="J4" s="14">
        <f>'Data Sheet'!J57</f>
        <v>543</v>
      </c>
      <c r="K4" s="14">
        <f>'Data Sheet'!K57</f>
        <v>543</v>
      </c>
    </row>
    <row r="5" spans="1:11" x14ac:dyDescent="0.45">
      <c r="A5" t="s">
        <v>25</v>
      </c>
      <c r="B5" s="14">
        <f>'Data Sheet'!B58</f>
        <v>32664</v>
      </c>
      <c r="C5" s="14">
        <f>'Data Sheet'!C58</f>
        <v>36108</v>
      </c>
      <c r="D5" s="14">
        <f>'Data Sheet'!D58</f>
        <v>41095</v>
      </c>
      <c r="E5" s="14">
        <f>'Data Sheet'!E58</f>
        <v>50724</v>
      </c>
      <c r="F5" s="14">
        <f>'Data Sheet'!F58</f>
        <v>59370</v>
      </c>
      <c r="G5" s="14">
        <f>'Data Sheet'!G58</f>
        <v>61371</v>
      </c>
      <c r="H5" s="14">
        <f>'Data Sheet'!H58</f>
        <v>64862</v>
      </c>
      <c r="I5" s="14">
        <f>'Data Sheet'!I58</f>
        <v>67720</v>
      </c>
      <c r="J5" s="14">
        <f>'Data Sheet'!J58</f>
        <v>69112</v>
      </c>
      <c r="K5" s="14">
        <f>'Data Sheet'!K58</f>
        <v>74622</v>
      </c>
    </row>
    <row r="6" spans="1:11" x14ac:dyDescent="0.45">
      <c r="A6" t="s">
        <v>62</v>
      </c>
      <c r="B6" s="14">
        <f>'Data Sheet'!B59</f>
        <v>582</v>
      </c>
      <c r="C6" s="14">
        <f>'Data Sheet'!C59</f>
        <v>557</v>
      </c>
      <c r="D6" s="14">
        <f>'Data Sheet'!D59</f>
        <v>4195</v>
      </c>
      <c r="E6" s="14">
        <f>'Data Sheet'!E59</f>
        <v>7986</v>
      </c>
      <c r="F6" s="14">
        <f>'Data Sheet'!F59</f>
        <v>6864</v>
      </c>
      <c r="G6" s="14">
        <f>'Data Sheet'!G59</f>
        <v>6343</v>
      </c>
      <c r="H6" s="14">
        <f>'Data Sheet'!H59</f>
        <v>4794</v>
      </c>
      <c r="I6" s="14">
        <f>'Data Sheet'!I59</f>
        <v>5756</v>
      </c>
      <c r="J6" s="14">
        <f>'Data Sheet'!J59</f>
        <v>6276</v>
      </c>
      <c r="K6" s="14">
        <f>'Data Sheet'!K59</f>
        <v>5215</v>
      </c>
    </row>
    <row r="7" spans="1:11" x14ac:dyDescent="0.45">
      <c r="A7" t="s">
        <v>63</v>
      </c>
      <c r="B7" s="14">
        <f>'Data Sheet'!B60</f>
        <v>12231</v>
      </c>
      <c r="C7" s="14">
        <f>'Data Sheet'!C60</f>
        <v>11046</v>
      </c>
      <c r="D7" s="14">
        <f>'Data Sheet'!D60</f>
        <v>12788</v>
      </c>
      <c r="E7" s="14">
        <f>'Data Sheet'!E60</f>
        <v>23566</v>
      </c>
      <c r="F7" s="14">
        <f>'Data Sheet'!F60</f>
        <v>19270</v>
      </c>
      <c r="G7" s="14">
        <f>'Data Sheet'!G60</f>
        <v>20664</v>
      </c>
      <c r="H7" s="14">
        <f>'Data Sheet'!H60</f>
        <v>23051</v>
      </c>
      <c r="I7" s="14">
        <f>'Data Sheet'!I60</f>
        <v>24987</v>
      </c>
      <c r="J7" s="14">
        <f>'Data Sheet'!J60</f>
        <v>28549</v>
      </c>
      <c r="K7" s="14">
        <f>'Data Sheet'!K60</f>
        <v>34732</v>
      </c>
    </row>
    <row r="8" spans="1:11" s="2" customFormat="1" x14ac:dyDescent="0.45">
      <c r="A8" s="2" t="s">
        <v>26</v>
      </c>
      <c r="B8" s="15">
        <f>'Data Sheet'!B61</f>
        <v>45762</v>
      </c>
      <c r="C8" s="15">
        <f>'Data Sheet'!C61</f>
        <v>47989</v>
      </c>
      <c r="D8" s="15">
        <f>'Data Sheet'!D61</f>
        <v>58349</v>
      </c>
      <c r="E8" s="15">
        <f>'Data Sheet'!E61</f>
        <v>82819</v>
      </c>
      <c r="F8" s="15">
        <f>'Data Sheet'!F61</f>
        <v>86047</v>
      </c>
      <c r="G8" s="15">
        <f>'Data Sheet'!G61</f>
        <v>88921</v>
      </c>
      <c r="H8" s="15">
        <f>'Data Sheet'!H61</f>
        <v>93250</v>
      </c>
      <c r="I8" s="15">
        <f>'Data Sheet'!I61</f>
        <v>99006</v>
      </c>
      <c r="J8" s="15">
        <f>'Data Sheet'!J61</f>
        <v>104480</v>
      </c>
      <c r="K8" s="15">
        <f>'Data Sheet'!K61</f>
        <v>115112</v>
      </c>
    </row>
    <row r="9" spans="1:11" s="2" customFormat="1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45">
      <c r="A10" t="s">
        <v>27</v>
      </c>
      <c r="B10" s="14">
        <f>'Data Sheet'!B62</f>
        <v>15235</v>
      </c>
      <c r="C10" s="14">
        <f>'Data Sheet'!C62</f>
        <v>18753</v>
      </c>
      <c r="D10" s="14">
        <f>'Data Sheet'!D62</f>
        <v>22888</v>
      </c>
      <c r="E10" s="14">
        <f>'Data Sheet'!E62</f>
        <v>37490</v>
      </c>
      <c r="F10" s="14">
        <f>'Data Sheet'!F62</f>
        <v>37145</v>
      </c>
      <c r="G10" s="14">
        <f>'Data Sheet'!G62</f>
        <v>35077</v>
      </c>
      <c r="H10" s="14">
        <f>'Data Sheet'!H62</f>
        <v>34619</v>
      </c>
      <c r="I10" s="14">
        <f>'Data Sheet'!I62</f>
        <v>35063</v>
      </c>
      <c r="J10" s="14">
        <f>'Data Sheet'!J62</f>
        <v>36172</v>
      </c>
      <c r="K10" s="14">
        <f>'Data Sheet'!K62</f>
        <v>37297</v>
      </c>
    </row>
    <row r="11" spans="1:11" x14ac:dyDescent="0.45">
      <c r="A11" t="s">
        <v>28</v>
      </c>
      <c r="B11" s="14">
        <f>'Data Sheet'!B63</f>
        <v>448</v>
      </c>
      <c r="C11" s="14">
        <f>'Data Sheet'!C63</f>
        <v>320</v>
      </c>
      <c r="D11" s="14">
        <f>'Data Sheet'!D63</f>
        <v>235</v>
      </c>
      <c r="E11" s="14">
        <f>'Data Sheet'!E63</f>
        <v>400</v>
      </c>
      <c r="F11" s="14">
        <f>'Data Sheet'!F63</f>
        <v>312</v>
      </c>
      <c r="G11" s="14">
        <f>'Data Sheet'!G63</f>
        <v>129</v>
      </c>
      <c r="H11" s="14">
        <f>'Data Sheet'!H63</f>
        <v>40</v>
      </c>
      <c r="I11" s="14">
        <f>'Data Sheet'!I63</f>
        <v>108</v>
      </c>
      <c r="J11" s="14">
        <f>'Data Sheet'!J63</f>
        <v>59</v>
      </c>
      <c r="K11" s="14">
        <f>'Data Sheet'!K63</f>
        <v>142</v>
      </c>
    </row>
    <row r="12" spans="1:11" x14ac:dyDescent="0.45">
      <c r="A12" t="s">
        <v>29</v>
      </c>
      <c r="B12" s="14">
        <f>'Data Sheet'!B64</f>
        <v>1306</v>
      </c>
      <c r="C12" s="14">
        <f>'Data Sheet'!C64</f>
        <v>2660</v>
      </c>
      <c r="D12" s="14">
        <f>'Data Sheet'!D64</f>
        <v>2305</v>
      </c>
      <c r="E12" s="14">
        <f>'Data Sheet'!E64</f>
        <v>7066</v>
      </c>
      <c r="F12" s="14">
        <f>'Data Sheet'!F64</f>
        <v>6862</v>
      </c>
      <c r="G12" s="14">
        <f>'Data Sheet'!G64</f>
        <v>6351</v>
      </c>
      <c r="H12" s="14">
        <f>'Data Sheet'!H64</f>
        <v>5495</v>
      </c>
      <c r="I12" s="14">
        <f>'Data Sheet'!I64</f>
        <v>7137</v>
      </c>
      <c r="J12" s="14">
        <f>'Data Sheet'!J64</f>
        <v>7564</v>
      </c>
      <c r="K12" s="14">
        <f>'Data Sheet'!K64</f>
        <v>7090</v>
      </c>
    </row>
    <row r="13" spans="1:11" x14ac:dyDescent="0.45">
      <c r="A13" t="s">
        <v>64</v>
      </c>
      <c r="B13" s="14">
        <f>'Data Sheet'!B65</f>
        <v>28773</v>
      </c>
      <c r="C13" s="14">
        <f>'Data Sheet'!C65</f>
        <v>26256</v>
      </c>
      <c r="D13" s="14">
        <f>'Data Sheet'!D65</f>
        <v>32921</v>
      </c>
      <c r="E13" s="14">
        <f>'Data Sheet'!E65</f>
        <v>37863</v>
      </c>
      <c r="F13" s="14">
        <f>'Data Sheet'!F65</f>
        <v>41728</v>
      </c>
      <c r="G13" s="14">
        <f>'Data Sheet'!G65</f>
        <v>47364</v>
      </c>
      <c r="H13" s="14">
        <f>'Data Sheet'!H65</f>
        <v>53096</v>
      </c>
      <c r="I13" s="14">
        <f>'Data Sheet'!I65</f>
        <v>56698</v>
      </c>
      <c r="J13" s="14">
        <f>'Data Sheet'!J65</f>
        <v>60685</v>
      </c>
      <c r="K13" s="14">
        <f>'Data Sheet'!K65</f>
        <v>70583</v>
      </c>
    </row>
    <row r="14" spans="1:11" s="2" customFormat="1" x14ac:dyDescent="0.45">
      <c r="A14" s="2" t="s">
        <v>26</v>
      </c>
      <c r="B14" s="14">
        <f>'Data Sheet'!B66</f>
        <v>45762</v>
      </c>
      <c r="C14" s="14">
        <f>'Data Sheet'!C66</f>
        <v>47989</v>
      </c>
      <c r="D14" s="14">
        <f>'Data Sheet'!D66</f>
        <v>58349</v>
      </c>
      <c r="E14" s="14">
        <f>'Data Sheet'!E66</f>
        <v>82819</v>
      </c>
      <c r="F14" s="14">
        <f>'Data Sheet'!F66</f>
        <v>86047</v>
      </c>
      <c r="G14" s="14">
        <f>'Data Sheet'!G66</f>
        <v>88921</v>
      </c>
      <c r="H14" s="14">
        <f>'Data Sheet'!H66</f>
        <v>93250</v>
      </c>
      <c r="I14" s="14">
        <f>'Data Sheet'!I66</f>
        <v>99006</v>
      </c>
      <c r="J14" s="14">
        <f>'Data Sheet'!J66</f>
        <v>104480</v>
      </c>
      <c r="K14" s="14">
        <f>'Data Sheet'!K66</f>
        <v>115112</v>
      </c>
    </row>
    <row r="15" spans="1:11" x14ac:dyDescent="0.4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45">
      <c r="A16" t="s">
        <v>30</v>
      </c>
      <c r="B16" s="4">
        <f>B13-B7</f>
        <v>16542</v>
      </c>
      <c r="C16" s="4">
        <f t="shared" ref="C16:K16" si="0">C13-C7</f>
        <v>15210</v>
      </c>
      <c r="D16" s="4">
        <f t="shared" si="0"/>
        <v>20133</v>
      </c>
      <c r="E16" s="4">
        <f t="shared" si="0"/>
        <v>14297</v>
      </c>
      <c r="F16" s="4">
        <f t="shared" si="0"/>
        <v>22458</v>
      </c>
      <c r="G16" s="4">
        <f t="shared" si="0"/>
        <v>26700</v>
      </c>
      <c r="H16" s="4">
        <f t="shared" si="0"/>
        <v>30045</v>
      </c>
      <c r="I16" s="4">
        <f t="shared" si="0"/>
        <v>31711</v>
      </c>
      <c r="J16" s="4">
        <f t="shared" si="0"/>
        <v>32136</v>
      </c>
      <c r="K16" s="4">
        <f t="shared" si="0"/>
        <v>35851</v>
      </c>
    </row>
    <row r="17" spans="1:11" x14ac:dyDescent="0.45">
      <c r="A17" t="s">
        <v>44</v>
      </c>
      <c r="B17" s="4">
        <f>'Data Sheet'!B67</f>
        <v>8301</v>
      </c>
      <c r="C17" s="4">
        <f>'Data Sheet'!C67</f>
        <v>9639</v>
      </c>
      <c r="D17" s="4">
        <f>'Data Sheet'!D67</f>
        <v>11706</v>
      </c>
      <c r="E17" s="4">
        <f>'Data Sheet'!E67</f>
        <v>14131</v>
      </c>
      <c r="F17" s="4">
        <f>'Data Sheet'!F67</f>
        <v>17525</v>
      </c>
      <c r="G17" s="4">
        <f>'Data Sheet'!G67</f>
        <v>20671</v>
      </c>
      <c r="H17" s="4">
        <f>'Data Sheet'!H67</f>
        <v>25506</v>
      </c>
      <c r="I17" s="4">
        <f>'Data Sheet'!I67</f>
        <v>25521</v>
      </c>
      <c r="J17" s="4">
        <f>'Data Sheet'!J67</f>
        <v>25842</v>
      </c>
      <c r="K17" s="4">
        <f>'Data Sheet'!K67</f>
        <v>31541</v>
      </c>
    </row>
    <row r="18" spans="1:11" x14ac:dyDescent="0.45">
      <c r="A18" t="s">
        <v>45</v>
      </c>
      <c r="B18" s="4">
        <f>'Data Sheet'!B68</f>
        <v>276</v>
      </c>
      <c r="C18" s="4">
        <f>'Data Sheet'!C68</f>
        <v>172</v>
      </c>
      <c r="D18" s="4">
        <f>'Data Sheet'!D68</f>
        <v>91</v>
      </c>
      <c r="E18" s="4">
        <f>'Data Sheet'!E68</f>
        <v>91</v>
      </c>
      <c r="F18" s="4">
        <f>'Data Sheet'!F68</f>
        <v>94</v>
      </c>
      <c r="G18" s="4">
        <f>'Data Sheet'!G68</f>
        <v>161</v>
      </c>
      <c r="H18" s="4">
        <f>'Data Sheet'!H68</f>
        <v>228</v>
      </c>
      <c r="I18" s="4">
        <f>'Data Sheet'!I68</f>
        <v>185</v>
      </c>
      <c r="J18" s="4">
        <f>'Data Sheet'!J68</f>
        <v>133</v>
      </c>
      <c r="K18" s="4">
        <f>'Data Sheet'!K68</f>
        <v>239</v>
      </c>
    </row>
    <row r="20" spans="1:11" x14ac:dyDescent="0.45">
      <c r="A20" t="s">
        <v>46</v>
      </c>
      <c r="B20" s="4">
        <f>IF('Profit &amp; Loss'!B4&gt;0,'Balance Sheet'!B17/('Profit &amp; Loss'!B4/365),0)</f>
        <v>63.695446518668007</v>
      </c>
      <c r="C20" s="4">
        <f>IF('Profit &amp; Loss'!C4&gt;0,'Balance Sheet'!C17/('Profit &amp; Loss'!C4/365),0)</f>
        <v>69.572959718404562</v>
      </c>
      <c r="D20" s="4">
        <f>IF('Profit &amp; Loss'!D4&gt;0,'Balance Sheet'!D17/('Profit &amp; Loss'!D4/365),0)</f>
        <v>70.708292650636309</v>
      </c>
      <c r="E20" s="4">
        <f>IF('Profit &amp; Loss'!E4&gt;0,'Balance Sheet'!E17/('Profit &amp; Loss'!E4/365),0)</f>
        <v>72.978309468560752</v>
      </c>
      <c r="F20" s="4">
        <f>IF('Profit &amp; Loss'!F4&gt;0,'Balance Sheet'!F17/('Profit &amp; Loss'!F4/365),0)</f>
        <v>84.859509943087602</v>
      </c>
      <c r="G20" s="4">
        <f>IF('Profit &amp; Loss'!G4&gt;0,'Balance Sheet'!G17/('Profit &amp; Loss'!G4/365),0)</f>
        <v>88.089047413340182</v>
      </c>
      <c r="H20" s="4">
        <f>IF('Profit &amp; Loss'!H4&gt;0,'Balance Sheet'!H17/('Profit &amp; Loss'!H4/365),0)</f>
        <v>91.760861851442996</v>
      </c>
      <c r="I20" s="4">
        <f>IF('Profit &amp; Loss'!I4&gt;0,'Balance Sheet'!I17/('Profit &amp; Loss'!I4/365),0)</f>
        <v>84.750348002511075</v>
      </c>
      <c r="J20" s="4">
        <f>IF('Profit &amp; Loss'!J4&gt;0,'Balance Sheet'!J17/('Profit &amp; Loss'!J4/365),0)</f>
        <v>80.580325488018445</v>
      </c>
      <c r="K20" s="4">
        <f>IF('Profit &amp; Loss'!K4&gt;0,'Balance Sheet'!K17/('Profit &amp; Loss'!K4/365),0)</f>
        <v>88.459437238750922</v>
      </c>
    </row>
    <row r="21" spans="1:11" x14ac:dyDescent="0.45">
      <c r="A21" t="s">
        <v>47</v>
      </c>
      <c r="B21" s="4">
        <f>IF('Balance Sheet'!B18&gt;0,'Profit &amp; Loss'!B4/'Balance Sheet'!B18,0)</f>
        <v>172.34782608695653</v>
      </c>
      <c r="C21" s="4">
        <f>IF('Balance Sheet'!C18&gt;0,'Profit &amp; Loss'!C4/'Balance Sheet'!C18,0)</f>
        <v>294.00581395348837</v>
      </c>
      <c r="D21" s="4">
        <f>IF('Balance Sheet'!D18&gt;0,'Profit &amp; Loss'!D4/'Balance Sheet'!D18,0)</f>
        <v>664.03296703296701</v>
      </c>
      <c r="E21" s="4">
        <f>IF('Balance Sheet'!E18&gt;0,'Profit &amp; Loss'!E4/'Balance Sheet'!E18,0)</f>
        <v>776.65934065934061</v>
      </c>
      <c r="F21" s="4">
        <f>IF('Balance Sheet'!F18&gt;0,'Profit &amp; Loss'!F4/'Balance Sheet'!F18,0)</f>
        <v>801.90425531914889</v>
      </c>
      <c r="G21" s="4">
        <f>IF('Balance Sheet'!G18&gt;0,'Profit &amp; Loss'!G4/'Balance Sheet'!G18,0)</f>
        <v>531.99378881987582</v>
      </c>
      <c r="H21" s="4">
        <f>IF('Balance Sheet'!H18&gt;0,'Profit &amp; Loss'!H4/'Balance Sheet'!H18,0)</f>
        <v>444.98245614035091</v>
      </c>
      <c r="I21" s="4">
        <f>IF('Balance Sheet'!I18&gt;0,'Profit &amp; Loss'!I4/'Balance Sheet'!I18,0)</f>
        <v>594.12432432432433</v>
      </c>
      <c r="J21" s="4">
        <f>IF('Balance Sheet'!J18&gt;0,'Profit &amp; Loss'!J4/'Balance Sheet'!J18,0)</f>
        <v>880.11278195488717</v>
      </c>
      <c r="K21" s="4">
        <f>IF('Balance Sheet'!K18&gt;0,'Profit &amp; Loss'!K4/'Balance Sheet'!K18,0)</f>
        <v>544.53556485355648</v>
      </c>
    </row>
    <row r="23" spans="1:11" s="2" customFormat="1" x14ac:dyDescent="0.45">
      <c r="A23" s="2" t="s">
        <v>50</v>
      </c>
      <c r="B23" s="10">
        <f>IF(SUM('Balance Sheet'!B4:B5)&gt;0,'Profit &amp; Loss'!B12/SUM('Balance Sheet'!B4:B5),"")</f>
        <v>0.26119153843819237</v>
      </c>
      <c r="C23" s="10">
        <f>IF(SUM('Balance Sheet'!C4:C5)&gt;0,'Profit &amp; Loss'!C12/SUM('Balance Sheet'!C4:C5),"")</f>
        <v>0.23968009674050458</v>
      </c>
      <c r="D23" s="10">
        <f>IF(SUM('Balance Sheet'!D4:D5)&gt;0,'Profit &amp; Loss'!D12/SUM('Balance Sheet'!D4:D5),"")</f>
        <v>0.2446453609244307</v>
      </c>
      <c r="E23" s="10">
        <f>IF(SUM('Balance Sheet'!E4:E5)&gt;0,'Profit &amp; Loss'!E12/SUM('Balance Sheet'!E4:E5),"")</f>
        <v>0.2156748005539626</v>
      </c>
      <c r="F23" s="10">
        <f>IF(SUM('Balance Sheet'!F4:F5)&gt;0,'Profit &amp; Loss'!F12/SUM('Balance Sheet'!F4:F5),"")</f>
        <v>0.18601972860647939</v>
      </c>
      <c r="G23" s="10">
        <f>IF(SUM('Balance Sheet'!G4:G5)&gt;0,'Profit &amp; Loss'!G12/SUM('Balance Sheet'!G4:G5),"")</f>
        <v>0.21802823270988791</v>
      </c>
      <c r="H23" s="10">
        <f>IF(SUM('Balance Sheet'!H4:H5)&gt;0,'Profit &amp; Loss'!H12/SUM('Balance Sheet'!H4:H5),"")</f>
        <v>0.22706215121168105</v>
      </c>
      <c r="I23" s="10">
        <f>IF(SUM('Balance Sheet'!I4:I5)&gt;0,'Profit &amp; Loss'!I12/SUM('Balance Sheet'!I4:I5),"")</f>
        <v>0.2300221203287286</v>
      </c>
      <c r="J23" s="10">
        <f>IF(SUM('Balance Sheet'!J4:J5)&gt;0,'Profit &amp; Loss'!J12/SUM('Balance Sheet'!J4:J5),"")</f>
        <v>0.24965903380948962</v>
      </c>
      <c r="K23" s="10">
        <f>IF(SUM('Balance Sheet'!K4:K5)&gt;0,'Profit &amp; Loss'!K12/SUM('Balance Sheet'!K4:K5),"")</f>
        <v>0.22140623960619971</v>
      </c>
    </row>
    <row r="24" spans="1:11" s="2" customFormat="1" x14ac:dyDescent="0.45">
      <c r="A24" s="2" t="s">
        <v>51</v>
      </c>
      <c r="B24" s="10"/>
      <c r="C24" s="10">
        <f>IF((B4+B5+B6+C4+C5+C6)&gt;0,('Profit &amp; Loss'!C10+'Profit &amp; Loss'!C9)*2/(B4+B5+B6+C4+C5+C6),"")</f>
        <v>0.31481113602179528</v>
      </c>
      <c r="D24" s="10">
        <f>IF((C4+C5+C6+D4+D5+D6)&gt;0,('Profit &amp; Loss'!D10+'Profit &amp; Loss'!D9)*2/(C4+C5+C6+D4+D5+D6),"")</f>
        <v>0.31019102104140406</v>
      </c>
      <c r="E24" s="10">
        <f>IF((D4+D5+D6+E4+E5+E6)&gt;0,('Profit &amp; Loss'!E10+'Profit &amp; Loss'!E9)*2/(D4+D5+D6+E4+E5+E6),"")</f>
        <v>0.27639437479725992</v>
      </c>
      <c r="F24" s="10">
        <f>IF((E4+E5+E6+F4+F5+F6)&gt;0,('Profit &amp; Loss'!F10+'Profit &amp; Loss'!F9)*2/(E4+E5+E6+F4+F5+F6),"")</f>
        <v>0.25968420217408555</v>
      </c>
      <c r="G24" s="10">
        <f>IF((F4+F5+F6+G4+G5+G6)&gt;0,('Profit &amp; Loss'!G10+'Profit &amp; Loss'!G9)*2/(F4+F5+F6+G4+G5+G6),"")</f>
        <v>0.2557874313135951</v>
      </c>
      <c r="H24" s="10">
        <f>IF((G4+G5+G6+H4+H5+H6)&gt;0,('Profit &amp; Loss'!H10+'Profit &amp; Loss'!H9)*2/(G4+G5+G6+H4+H5+H6),"")</f>
        <v>0.28660368636967704</v>
      </c>
      <c r="I24" s="10">
        <f>IF((H4+H5+H6+I4+I5+I6)&gt;0,('Profit &amp; Loss'!I10+'Profit &amp; Loss'!I9)*2/(H4+H5+H6+I4+I5+I6),"")</f>
        <v>0.29843708829688387</v>
      </c>
      <c r="J24" s="10">
        <f>IF((I4+I5+I6+J4+J5+J6)&gt;0,('Profit &amp; Loss'!J10+'Profit &amp; Loss'!J9)*2/(I4+I5+I6+J4+J5+J6),"")</f>
        <v>0.31883961320440146</v>
      </c>
      <c r="K24" s="10">
        <f>IF((J4+J5+J6+K4+K5+K6)&gt;0,('Profit &amp; Loss'!K10+'Profit &amp; Loss'!K9)*2/(J4+J5+J6+K4+K5+K6),"")</f>
        <v>0.2939140559525561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96875" defaultRowHeight="14.25" x14ac:dyDescent="0.45"/>
  <cols>
    <col min="1" max="1" width="26.796875" bestFit="1" customWidth="1"/>
    <col min="2" max="6" width="13.46484375" customWidth="1"/>
    <col min="7" max="11" width="13.46484375" bestFit="1" customWidth="1"/>
  </cols>
  <sheetData>
    <row r="1" spans="1:11" s="2" customFormat="1" x14ac:dyDescent="0.45">
      <c r="A1" s="2" t="str">
        <f>'Balance Sheet'!A1</f>
        <v>HCL TECHNOLOGIES LTD</v>
      </c>
      <c r="E1" t="str">
        <f>UPDATE</f>
        <v/>
      </c>
      <c r="F1"/>
      <c r="J1" s="2" t="s">
        <v>1</v>
      </c>
    </row>
    <row r="3" spans="1:11" s="2" customFormat="1" x14ac:dyDescent="0.4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45">
      <c r="A4" s="2" t="s">
        <v>32</v>
      </c>
      <c r="B4" s="1">
        <f>'Data Sheet'!B82</f>
        <v>8995</v>
      </c>
      <c r="C4" s="1">
        <f>'Data Sheet'!C82</f>
        <v>8328</v>
      </c>
      <c r="D4" s="1">
        <f>'Data Sheet'!D82</f>
        <v>8971</v>
      </c>
      <c r="E4" s="1">
        <f>'Data Sheet'!E82</f>
        <v>13359</v>
      </c>
      <c r="F4" s="1">
        <f>'Data Sheet'!F82</f>
        <v>19618</v>
      </c>
      <c r="G4" s="1">
        <f>'Data Sheet'!G82</f>
        <v>16900</v>
      </c>
      <c r="H4" s="1">
        <f>'Data Sheet'!H82</f>
        <v>18009</v>
      </c>
      <c r="I4" s="1">
        <f>'Data Sheet'!I82</f>
        <v>22448</v>
      </c>
      <c r="J4" s="1">
        <f>'Data Sheet'!J82</f>
        <v>22261</v>
      </c>
      <c r="K4" s="1">
        <f>'Data Sheet'!K82</f>
        <v>19975</v>
      </c>
    </row>
    <row r="5" spans="1:11" x14ac:dyDescent="0.45">
      <c r="A5" t="s">
        <v>33</v>
      </c>
      <c r="B5" s="6">
        <f>'Data Sheet'!B83</f>
        <v>-3890</v>
      </c>
      <c r="C5" s="6">
        <f>'Data Sheet'!C83</f>
        <v>-2236</v>
      </c>
      <c r="D5" s="6">
        <f>'Data Sheet'!D83</f>
        <v>-3256</v>
      </c>
      <c r="E5" s="6">
        <f>'Data Sheet'!E83</f>
        <v>-12332</v>
      </c>
      <c r="F5" s="6">
        <f>'Data Sheet'!F83</f>
        <v>-5665</v>
      </c>
      <c r="G5" s="6">
        <f>'Data Sheet'!G83</f>
        <v>1597</v>
      </c>
      <c r="H5" s="6">
        <f>'Data Sheet'!H83</f>
        <v>-3573</v>
      </c>
      <c r="I5" s="6">
        <f>'Data Sheet'!I83</f>
        <v>-6608</v>
      </c>
      <c r="J5" s="6">
        <f>'Data Sheet'!J83</f>
        <v>-4896</v>
      </c>
      <c r="K5" s="6">
        <f>'Data Sheet'!K83</f>
        <v>-656</v>
      </c>
    </row>
    <row r="6" spans="1:11" x14ac:dyDescent="0.45">
      <c r="A6" t="s">
        <v>34</v>
      </c>
      <c r="B6" s="6">
        <f>'Data Sheet'!B84</f>
        <v>-4517</v>
      </c>
      <c r="C6" s="6">
        <f>'Data Sheet'!C84</f>
        <v>-5714</v>
      </c>
      <c r="D6" s="6">
        <f>'Data Sheet'!D84</f>
        <v>-1471</v>
      </c>
      <c r="E6" s="6">
        <f>'Data Sheet'!E84</f>
        <v>-3168</v>
      </c>
      <c r="F6" s="6">
        <f>'Data Sheet'!F84</f>
        <v>-11192</v>
      </c>
      <c r="G6" s="6">
        <f>'Data Sheet'!G84</f>
        <v>-14508</v>
      </c>
      <c r="H6" s="6">
        <f>'Data Sheet'!H84</f>
        <v>-15881</v>
      </c>
      <c r="I6" s="6">
        <f>'Data Sheet'!I84</f>
        <v>-15464</v>
      </c>
      <c r="J6" s="6">
        <f>'Data Sheet'!J84</f>
        <v>-18561</v>
      </c>
      <c r="K6" s="6">
        <f>'Data Sheet'!K84</f>
        <v>-19369</v>
      </c>
    </row>
    <row r="7" spans="1:11" s="2" customFormat="1" x14ac:dyDescent="0.45">
      <c r="A7" s="2" t="s">
        <v>35</v>
      </c>
      <c r="B7" s="1">
        <f>'Data Sheet'!B85</f>
        <v>588</v>
      </c>
      <c r="C7" s="1">
        <f>'Data Sheet'!C85</f>
        <v>378</v>
      </c>
      <c r="D7" s="1">
        <f>'Data Sheet'!D85</f>
        <v>4244</v>
      </c>
      <c r="E7" s="1">
        <f>'Data Sheet'!E85</f>
        <v>-2141</v>
      </c>
      <c r="F7" s="1">
        <f>'Data Sheet'!F85</f>
        <v>2761</v>
      </c>
      <c r="G7" s="1">
        <f>'Data Sheet'!G85</f>
        <v>3989</v>
      </c>
      <c r="H7" s="1">
        <f>'Data Sheet'!H85</f>
        <v>-1445</v>
      </c>
      <c r="I7" s="1">
        <f>'Data Sheet'!I85</f>
        <v>376</v>
      </c>
      <c r="J7" s="1">
        <f>'Data Sheet'!J85</f>
        <v>-1196</v>
      </c>
      <c r="K7" s="1">
        <f>'Data Sheet'!K85</f>
        <v>-50</v>
      </c>
    </row>
    <row r="8" spans="1:11" x14ac:dyDescent="0.4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4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96875" defaultRowHeight="14.25" x14ac:dyDescent="0.45"/>
  <cols>
    <col min="1" max="1" width="27.6640625" style="4" bestFit="1" customWidth="1"/>
    <col min="2" max="11" width="13.46484375" style="4" bestFit="1" customWidth="1"/>
    <col min="12" max="16384" width="8.796875" style="4"/>
  </cols>
  <sheetData>
    <row r="1" spans="1:11" s="1" customFormat="1" x14ac:dyDescent="0.45">
      <c r="A1" s="1" t="s">
        <v>0</v>
      </c>
      <c r="B1" s="1" t="s">
        <v>54</v>
      </c>
      <c r="E1" s="21" t="str">
        <f>IF(B2&lt;&gt;B3, "A NEW VERSION OF THE WORKSHEET IS AVAILABLE", "")</f>
        <v/>
      </c>
      <c r="F1" s="21"/>
      <c r="G1" s="21"/>
      <c r="H1" s="21"/>
      <c r="I1" s="21"/>
      <c r="J1" s="21"/>
      <c r="K1" s="21"/>
    </row>
    <row r="2" spans="1:11" x14ac:dyDescent="0.45">
      <c r="A2" s="1" t="s">
        <v>52</v>
      </c>
      <c r="B2" s="4">
        <v>2.1</v>
      </c>
      <c r="E2" s="22" t="s">
        <v>36</v>
      </c>
      <c r="F2" s="22"/>
      <c r="G2" s="22"/>
      <c r="H2" s="22"/>
      <c r="I2" s="22"/>
      <c r="J2" s="22"/>
      <c r="K2" s="22"/>
    </row>
    <row r="3" spans="1:11" x14ac:dyDescent="0.45">
      <c r="A3" s="1" t="s">
        <v>53</v>
      </c>
      <c r="B3" s="4">
        <v>2.1</v>
      </c>
    </row>
    <row r="4" spans="1:11" x14ac:dyDescent="0.45">
      <c r="A4" s="1"/>
    </row>
    <row r="5" spans="1:11" x14ac:dyDescent="0.45">
      <c r="A5" s="1" t="s">
        <v>55</v>
      </c>
    </row>
    <row r="6" spans="1:11" x14ac:dyDescent="0.45">
      <c r="A6" s="4" t="s">
        <v>42</v>
      </c>
      <c r="B6" s="4">
        <f>IF(B9&gt;0, B9/B8, 0)</f>
        <v>270.55681617647059</v>
      </c>
    </row>
    <row r="7" spans="1:11" x14ac:dyDescent="0.45">
      <c r="A7" s="4" t="s">
        <v>31</v>
      </c>
      <c r="B7">
        <v>2</v>
      </c>
    </row>
    <row r="8" spans="1:11" x14ac:dyDescent="0.45">
      <c r="A8" s="4" t="s">
        <v>43</v>
      </c>
      <c r="B8">
        <v>1360</v>
      </c>
    </row>
    <row r="9" spans="1:11" x14ac:dyDescent="0.45">
      <c r="A9" s="4" t="s">
        <v>70</v>
      </c>
      <c r="B9">
        <v>367957.27</v>
      </c>
    </row>
    <row r="15" spans="1:11" x14ac:dyDescent="0.45">
      <c r="A15" s="1" t="s">
        <v>37</v>
      </c>
    </row>
    <row r="16" spans="1:11" s="18" customFormat="1" x14ac:dyDescent="0.4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45">
      <c r="A17" s="6" t="s">
        <v>6</v>
      </c>
      <c r="B17">
        <v>47568</v>
      </c>
      <c r="C17">
        <v>50569</v>
      </c>
      <c r="D17">
        <v>60427</v>
      </c>
      <c r="E17">
        <v>70676</v>
      </c>
      <c r="F17">
        <v>75379</v>
      </c>
      <c r="G17">
        <v>85651</v>
      </c>
      <c r="H17">
        <v>101456</v>
      </c>
      <c r="I17">
        <v>109913</v>
      </c>
      <c r="J17">
        <v>117055</v>
      </c>
      <c r="K17">
        <v>130144</v>
      </c>
    </row>
    <row r="18" spans="1:11" s="6" customFormat="1" x14ac:dyDescent="0.45">
      <c r="A18" s="4" t="s">
        <v>71</v>
      </c>
      <c r="B18">
        <v>826</v>
      </c>
      <c r="C18">
        <v>1251</v>
      </c>
      <c r="D18">
        <v>1615</v>
      </c>
      <c r="E18">
        <v>1536</v>
      </c>
      <c r="F18">
        <v>1698</v>
      </c>
      <c r="G18">
        <v>1473</v>
      </c>
      <c r="H18">
        <v>2072</v>
      </c>
      <c r="I18">
        <v>1754</v>
      </c>
      <c r="J18">
        <v>1976</v>
      </c>
      <c r="K18">
        <v>2715</v>
      </c>
    </row>
    <row r="19" spans="1:11" s="6" customFormat="1" x14ac:dyDescent="0.45">
      <c r="A19" s="4" t="s">
        <v>72</v>
      </c>
      <c r="B19">
        <v>11</v>
      </c>
      <c r="C19">
        <v>-104</v>
      </c>
      <c r="D19">
        <v>-81</v>
      </c>
      <c r="F19">
        <v>3</v>
      </c>
      <c r="G19">
        <v>67</v>
      </c>
      <c r="H19">
        <v>67</v>
      </c>
      <c r="I19">
        <v>-43</v>
      </c>
      <c r="J19">
        <v>-52</v>
      </c>
      <c r="K19">
        <v>106</v>
      </c>
    </row>
    <row r="20" spans="1:11" s="6" customFormat="1" x14ac:dyDescent="0.45">
      <c r="A20" s="4" t="s">
        <v>73</v>
      </c>
      <c r="B20">
        <v>307</v>
      </c>
      <c r="C20">
        <v>313</v>
      </c>
      <c r="D20">
        <v>336</v>
      </c>
      <c r="E20">
        <v>307</v>
      </c>
      <c r="F20">
        <v>275</v>
      </c>
      <c r="G20">
        <v>291</v>
      </c>
      <c r="H20">
        <v>328</v>
      </c>
      <c r="I20">
        <v>360</v>
      </c>
      <c r="J20">
        <v>355</v>
      </c>
      <c r="K20">
        <v>355</v>
      </c>
    </row>
    <row r="21" spans="1:11" s="6" customFormat="1" x14ac:dyDescent="0.45">
      <c r="A21" s="4" t="s">
        <v>74</v>
      </c>
      <c r="B21">
        <v>9286</v>
      </c>
      <c r="C21">
        <v>9388</v>
      </c>
      <c r="D21">
        <v>10862</v>
      </c>
      <c r="E21">
        <v>12324</v>
      </c>
      <c r="F21">
        <v>12084</v>
      </c>
      <c r="G21">
        <v>14574</v>
      </c>
      <c r="H21">
        <v>17303</v>
      </c>
      <c r="I21">
        <v>15651</v>
      </c>
      <c r="J21">
        <v>16276</v>
      </c>
      <c r="K21">
        <v>19741</v>
      </c>
    </row>
    <row r="22" spans="1:11" s="6" customFormat="1" x14ac:dyDescent="0.45">
      <c r="A22" s="4" t="s">
        <v>75</v>
      </c>
      <c r="B22">
        <v>22866</v>
      </c>
      <c r="C22">
        <v>24729</v>
      </c>
      <c r="D22">
        <v>29283</v>
      </c>
      <c r="E22">
        <v>34928</v>
      </c>
      <c r="F22">
        <v>38853</v>
      </c>
      <c r="G22">
        <v>46130</v>
      </c>
      <c r="H22">
        <v>55280</v>
      </c>
      <c r="I22">
        <v>62480</v>
      </c>
      <c r="J22">
        <v>66755</v>
      </c>
      <c r="K22">
        <v>74143</v>
      </c>
    </row>
    <row r="23" spans="1:11" s="6" customFormat="1" x14ac:dyDescent="0.45">
      <c r="A23" s="4" t="s">
        <v>76</v>
      </c>
      <c r="B23">
        <v>2988</v>
      </c>
      <c r="C23">
        <v>2810</v>
      </c>
      <c r="D23">
        <v>3519</v>
      </c>
      <c r="E23">
        <v>3050</v>
      </c>
      <c r="F23">
        <v>1681</v>
      </c>
      <c r="G23">
        <v>1866</v>
      </c>
      <c r="H23">
        <v>2687</v>
      </c>
      <c r="I23">
        <v>3858</v>
      </c>
      <c r="J23">
        <v>4504</v>
      </c>
      <c r="K23">
        <v>4779</v>
      </c>
    </row>
    <row r="24" spans="1:11" s="6" customFormat="1" x14ac:dyDescent="0.45">
      <c r="A24" s="4" t="s">
        <v>77</v>
      </c>
      <c r="B24">
        <v>916</v>
      </c>
      <c r="C24">
        <v>728</v>
      </c>
      <c r="D24">
        <v>805</v>
      </c>
      <c r="E24">
        <v>1215</v>
      </c>
      <c r="F24">
        <v>743</v>
      </c>
      <c r="G24">
        <v>855</v>
      </c>
      <c r="H24">
        <v>1225</v>
      </c>
      <c r="I24">
        <v>1569</v>
      </c>
      <c r="J24">
        <v>1633</v>
      </c>
      <c r="K24">
        <v>1765</v>
      </c>
    </row>
    <row r="25" spans="1:11" s="6" customFormat="1" x14ac:dyDescent="0.45">
      <c r="A25" s="6" t="s">
        <v>9</v>
      </c>
      <c r="B25">
        <v>1069</v>
      </c>
      <c r="C25">
        <v>1230</v>
      </c>
      <c r="D25">
        <v>943</v>
      </c>
      <c r="E25">
        <v>589</v>
      </c>
      <c r="F25">
        <v>927</v>
      </c>
      <c r="G25">
        <v>1067</v>
      </c>
      <c r="H25">
        <v>1358</v>
      </c>
      <c r="I25">
        <v>1495</v>
      </c>
      <c r="J25">
        <v>2485</v>
      </c>
      <c r="K25">
        <v>574</v>
      </c>
    </row>
    <row r="26" spans="1:11" s="6" customFormat="1" x14ac:dyDescent="0.45">
      <c r="A26" s="6" t="s">
        <v>10</v>
      </c>
      <c r="B26">
        <v>828</v>
      </c>
      <c r="C26">
        <v>1383</v>
      </c>
      <c r="D26">
        <v>2073</v>
      </c>
      <c r="E26">
        <v>3420</v>
      </c>
      <c r="F26">
        <v>4611</v>
      </c>
      <c r="G26">
        <v>4326</v>
      </c>
      <c r="H26">
        <v>4145</v>
      </c>
      <c r="I26">
        <v>4173</v>
      </c>
      <c r="J26">
        <v>4084</v>
      </c>
      <c r="K26">
        <v>4355</v>
      </c>
    </row>
    <row r="27" spans="1:11" s="6" customFormat="1" x14ac:dyDescent="0.45">
      <c r="A27" s="6" t="s">
        <v>11</v>
      </c>
      <c r="B27">
        <v>89</v>
      </c>
      <c r="C27">
        <v>69</v>
      </c>
      <c r="D27">
        <v>174</v>
      </c>
      <c r="E27">
        <v>505</v>
      </c>
      <c r="F27">
        <v>511</v>
      </c>
      <c r="G27">
        <v>319</v>
      </c>
      <c r="H27">
        <v>353</v>
      </c>
      <c r="I27">
        <v>553</v>
      </c>
      <c r="J27">
        <v>644</v>
      </c>
      <c r="K27">
        <v>869</v>
      </c>
    </row>
    <row r="28" spans="1:11" s="6" customFormat="1" x14ac:dyDescent="0.45">
      <c r="A28" s="6" t="s">
        <v>12</v>
      </c>
      <c r="B28">
        <v>10542</v>
      </c>
      <c r="C28">
        <v>11024</v>
      </c>
      <c r="D28">
        <v>12622</v>
      </c>
      <c r="E28">
        <v>13980</v>
      </c>
      <c r="F28">
        <v>15853</v>
      </c>
      <c r="G28">
        <v>16951</v>
      </c>
      <c r="H28">
        <v>19488</v>
      </c>
      <c r="I28">
        <v>20967</v>
      </c>
      <c r="J28">
        <v>23261</v>
      </c>
      <c r="K28">
        <v>22102</v>
      </c>
    </row>
    <row r="29" spans="1:11" s="6" customFormat="1" x14ac:dyDescent="0.45">
      <c r="A29" s="6" t="s">
        <v>13</v>
      </c>
      <c r="B29">
        <v>1936</v>
      </c>
      <c r="C29">
        <v>2302</v>
      </c>
      <c r="D29">
        <v>2502</v>
      </c>
      <c r="E29">
        <v>2923</v>
      </c>
      <c r="F29">
        <v>4684</v>
      </c>
      <c r="G29">
        <v>3428</v>
      </c>
      <c r="H29">
        <v>4643</v>
      </c>
      <c r="I29">
        <v>5257</v>
      </c>
      <c r="J29">
        <v>5862</v>
      </c>
      <c r="K29">
        <v>5450</v>
      </c>
    </row>
    <row r="30" spans="1:11" s="6" customFormat="1" x14ac:dyDescent="0.45">
      <c r="A30" s="6" t="s">
        <v>14</v>
      </c>
      <c r="B30">
        <v>8606</v>
      </c>
      <c r="C30">
        <v>8721</v>
      </c>
      <c r="D30">
        <v>10120</v>
      </c>
      <c r="E30">
        <v>11057</v>
      </c>
      <c r="F30">
        <v>11145</v>
      </c>
      <c r="G30">
        <v>13499</v>
      </c>
      <c r="H30">
        <v>14851</v>
      </c>
      <c r="I30">
        <v>15702</v>
      </c>
      <c r="J30">
        <v>17390</v>
      </c>
      <c r="K30">
        <v>16642</v>
      </c>
    </row>
    <row r="31" spans="1:11" s="6" customFormat="1" x14ac:dyDescent="0.45">
      <c r="A31" s="6" t="s">
        <v>61</v>
      </c>
      <c r="B31">
        <v>3420</v>
      </c>
      <c r="C31">
        <v>1668</v>
      </c>
      <c r="D31">
        <v>1084</v>
      </c>
      <c r="E31">
        <v>2715</v>
      </c>
      <c r="F31">
        <v>2715</v>
      </c>
      <c r="G31">
        <v>11403</v>
      </c>
      <c r="H31">
        <v>13032</v>
      </c>
      <c r="I31">
        <v>14118</v>
      </c>
      <c r="J31">
        <v>16290</v>
      </c>
      <c r="K31">
        <v>14661</v>
      </c>
    </row>
    <row r="32" spans="1:11" s="6" customFormat="1" x14ac:dyDescent="0.45"/>
    <row r="33" spans="1:11" x14ac:dyDescent="0.45">
      <c r="A33" s="6"/>
    </row>
    <row r="34" spans="1:11" x14ac:dyDescent="0.45">
      <c r="A34" s="6"/>
    </row>
    <row r="35" spans="1:11" x14ac:dyDescent="0.45">
      <c r="A35" s="6"/>
    </row>
    <row r="36" spans="1:11" x14ac:dyDescent="0.45">
      <c r="A36" s="6"/>
    </row>
    <row r="37" spans="1:11" x14ac:dyDescent="0.45">
      <c r="A37" s="6"/>
    </row>
    <row r="38" spans="1:11" x14ac:dyDescent="0.45">
      <c r="A38" s="6"/>
    </row>
    <row r="39" spans="1:11" x14ac:dyDescent="0.45">
      <c r="A39" s="6"/>
    </row>
    <row r="40" spans="1:11" x14ac:dyDescent="0.45">
      <c r="A40" s="1" t="s">
        <v>39</v>
      </c>
    </row>
    <row r="41" spans="1:11" s="18" customFormat="1" x14ac:dyDescent="0.4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45">
      <c r="A42" s="6" t="s">
        <v>6</v>
      </c>
      <c r="B42">
        <v>28499</v>
      </c>
      <c r="C42">
        <v>28057</v>
      </c>
      <c r="D42">
        <v>28862</v>
      </c>
      <c r="E42">
        <v>29890</v>
      </c>
      <c r="F42">
        <v>30246</v>
      </c>
      <c r="G42">
        <v>30349</v>
      </c>
      <c r="H42">
        <v>31942</v>
      </c>
      <c r="I42">
        <v>33872</v>
      </c>
      <c r="J42">
        <v>33981</v>
      </c>
      <c r="K42">
        <v>34579</v>
      </c>
    </row>
    <row r="43" spans="1:11" s="6" customFormat="1" x14ac:dyDescent="0.45">
      <c r="A43" s="6" t="s">
        <v>7</v>
      </c>
      <c r="B43">
        <v>22382</v>
      </c>
      <c r="C43">
        <v>22264</v>
      </c>
      <c r="D43">
        <v>22493</v>
      </c>
      <c r="E43">
        <v>23030</v>
      </c>
      <c r="F43">
        <v>23764</v>
      </c>
      <c r="G43">
        <v>24314</v>
      </c>
      <c r="H43">
        <v>25397</v>
      </c>
      <c r="I43">
        <v>26460</v>
      </c>
      <c r="J43">
        <v>27269</v>
      </c>
      <c r="K43">
        <v>27709</v>
      </c>
    </row>
    <row r="44" spans="1:11" s="6" customFormat="1" x14ac:dyDescent="0.45">
      <c r="A44" s="6" t="s">
        <v>9</v>
      </c>
      <c r="B44">
        <v>416</v>
      </c>
      <c r="C44">
        <v>1103</v>
      </c>
      <c r="D44">
        <v>456</v>
      </c>
      <c r="E44">
        <v>477</v>
      </c>
      <c r="F44">
        <v>449</v>
      </c>
      <c r="G44">
        <v>456</v>
      </c>
      <c r="H44">
        <v>415</v>
      </c>
      <c r="I44">
        <v>-571</v>
      </c>
      <c r="J44">
        <v>322</v>
      </c>
      <c r="K44">
        <v>361</v>
      </c>
    </row>
    <row r="45" spans="1:11" s="6" customFormat="1" x14ac:dyDescent="0.45">
      <c r="A45" s="6" t="s">
        <v>10</v>
      </c>
      <c r="B45">
        <v>1093</v>
      </c>
      <c r="C45">
        <v>998</v>
      </c>
      <c r="D45">
        <v>1007</v>
      </c>
      <c r="E45">
        <v>1039</v>
      </c>
      <c r="F45">
        <v>1040</v>
      </c>
      <c r="G45">
        <v>1093</v>
      </c>
      <c r="H45">
        <v>1043</v>
      </c>
      <c r="I45">
        <v>1127</v>
      </c>
      <c r="J45">
        <v>1092</v>
      </c>
      <c r="K45">
        <v>1039</v>
      </c>
    </row>
    <row r="46" spans="1:11" s="6" customFormat="1" x14ac:dyDescent="0.45">
      <c r="A46" s="6" t="s">
        <v>11</v>
      </c>
      <c r="B46">
        <v>171</v>
      </c>
      <c r="C46">
        <v>191</v>
      </c>
      <c r="D46">
        <v>131</v>
      </c>
      <c r="E46">
        <v>166</v>
      </c>
      <c r="F46">
        <v>156</v>
      </c>
      <c r="G46">
        <v>209</v>
      </c>
      <c r="H46">
        <v>215</v>
      </c>
      <c r="I46">
        <v>205</v>
      </c>
      <c r="J46">
        <v>240</v>
      </c>
      <c r="K46">
        <v>84</v>
      </c>
    </row>
    <row r="47" spans="1:11" s="6" customFormat="1" x14ac:dyDescent="0.45">
      <c r="A47" s="6" t="s">
        <v>12</v>
      </c>
      <c r="B47">
        <v>5269</v>
      </c>
      <c r="C47">
        <v>5707</v>
      </c>
      <c r="D47">
        <v>5687</v>
      </c>
      <c r="E47">
        <v>6132</v>
      </c>
      <c r="F47">
        <v>5735</v>
      </c>
      <c r="G47">
        <v>5189</v>
      </c>
      <c r="H47">
        <v>5702</v>
      </c>
      <c r="I47">
        <v>5509</v>
      </c>
      <c r="J47">
        <v>5702</v>
      </c>
      <c r="K47">
        <v>6108</v>
      </c>
    </row>
    <row r="48" spans="1:11" s="6" customFormat="1" x14ac:dyDescent="0.45">
      <c r="A48" s="6" t="s">
        <v>13</v>
      </c>
      <c r="B48">
        <v>1274</v>
      </c>
      <c r="C48">
        <v>1448</v>
      </c>
      <c r="D48">
        <v>1450</v>
      </c>
      <c r="E48">
        <v>1538</v>
      </c>
      <c r="F48">
        <v>1426</v>
      </c>
      <c r="G48">
        <v>1345</v>
      </c>
      <c r="H48">
        <v>1466</v>
      </c>
      <c r="I48">
        <v>1427</v>
      </c>
      <c r="J48">
        <v>1212</v>
      </c>
      <c r="K48">
        <v>1482</v>
      </c>
    </row>
    <row r="49" spans="1:11" s="6" customFormat="1" x14ac:dyDescent="0.45">
      <c r="A49" s="6" t="s">
        <v>14</v>
      </c>
      <c r="B49">
        <v>3986</v>
      </c>
      <c r="C49">
        <v>4257</v>
      </c>
      <c r="D49">
        <v>4235</v>
      </c>
      <c r="E49">
        <v>4591</v>
      </c>
      <c r="F49">
        <v>4307</v>
      </c>
      <c r="G49">
        <v>3843</v>
      </c>
      <c r="H49">
        <v>4235</v>
      </c>
      <c r="I49">
        <v>4076</v>
      </c>
      <c r="J49">
        <v>4488</v>
      </c>
      <c r="K49">
        <v>4624</v>
      </c>
    </row>
    <row r="50" spans="1:11" x14ac:dyDescent="0.45">
      <c r="A50" s="6" t="s">
        <v>8</v>
      </c>
      <c r="B50">
        <v>6117</v>
      </c>
      <c r="C50">
        <v>5793</v>
      </c>
      <c r="D50">
        <v>6369</v>
      </c>
      <c r="E50">
        <v>6860</v>
      </c>
      <c r="F50">
        <v>6482</v>
      </c>
      <c r="G50">
        <v>6035</v>
      </c>
      <c r="H50">
        <v>6545</v>
      </c>
      <c r="I50">
        <v>7412</v>
      </c>
      <c r="J50">
        <v>6712</v>
      </c>
      <c r="K50">
        <v>6870</v>
      </c>
    </row>
    <row r="51" spans="1:11" x14ac:dyDescent="0.45">
      <c r="A51" s="6"/>
    </row>
    <row r="52" spans="1:11" x14ac:dyDescent="0.45">
      <c r="A52" s="6"/>
    </row>
    <row r="53" spans="1:11" x14ac:dyDescent="0.45">
      <c r="A53" s="6"/>
    </row>
    <row r="54" spans="1:11" x14ac:dyDescent="0.45">
      <c r="A54" s="6"/>
    </row>
    <row r="55" spans="1:11" x14ac:dyDescent="0.45">
      <c r="A55" s="1" t="s">
        <v>40</v>
      </c>
    </row>
    <row r="56" spans="1:11" s="18" customFormat="1" x14ac:dyDescent="0.4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45">
      <c r="A57" s="6" t="s">
        <v>24</v>
      </c>
      <c r="B57">
        <v>285</v>
      </c>
      <c r="C57">
        <v>278</v>
      </c>
      <c r="D57">
        <v>271</v>
      </c>
      <c r="E57">
        <v>543</v>
      </c>
      <c r="F57">
        <v>543</v>
      </c>
      <c r="G57">
        <v>543</v>
      </c>
      <c r="H57">
        <v>543</v>
      </c>
      <c r="I57">
        <v>543</v>
      </c>
      <c r="J57">
        <v>543</v>
      </c>
      <c r="K57">
        <v>543</v>
      </c>
    </row>
    <row r="58" spans="1:11" x14ac:dyDescent="0.45">
      <c r="A58" s="6" t="s">
        <v>25</v>
      </c>
      <c r="B58">
        <v>32664</v>
      </c>
      <c r="C58">
        <v>36108</v>
      </c>
      <c r="D58">
        <v>41095</v>
      </c>
      <c r="E58">
        <v>50724</v>
      </c>
      <c r="F58">
        <v>59370</v>
      </c>
      <c r="G58">
        <v>61371</v>
      </c>
      <c r="H58">
        <v>64862</v>
      </c>
      <c r="I58">
        <v>67720</v>
      </c>
      <c r="J58">
        <v>69112</v>
      </c>
      <c r="K58">
        <v>74622</v>
      </c>
    </row>
    <row r="59" spans="1:11" x14ac:dyDescent="0.45">
      <c r="A59" s="6" t="s">
        <v>62</v>
      </c>
      <c r="B59">
        <v>582</v>
      </c>
      <c r="C59">
        <v>557</v>
      </c>
      <c r="D59">
        <v>4195</v>
      </c>
      <c r="E59">
        <v>7986</v>
      </c>
      <c r="F59">
        <v>6864</v>
      </c>
      <c r="G59">
        <v>6343</v>
      </c>
      <c r="H59">
        <v>4794</v>
      </c>
      <c r="I59">
        <v>5756</v>
      </c>
      <c r="J59">
        <v>6276</v>
      </c>
      <c r="K59">
        <v>5215</v>
      </c>
    </row>
    <row r="60" spans="1:11" x14ac:dyDescent="0.45">
      <c r="A60" s="6" t="s">
        <v>63</v>
      </c>
      <c r="B60">
        <v>12231</v>
      </c>
      <c r="C60">
        <v>11046</v>
      </c>
      <c r="D60">
        <v>12788</v>
      </c>
      <c r="E60">
        <v>23566</v>
      </c>
      <c r="F60">
        <v>19270</v>
      </c>
      <c r="G60">
        <v>20664</v>
      </c>
      <c r="H60">
        <v>23051</v>
      </c>
      <c r="I60">
        <v>24987</v>
      </c>
      <c r="J60">
        <v>28549</v>
      </c>
      <c r="K60">
        <v>34732</v>
      </c>
    </row>
    <row r="61" spans="1:11" s="1" customFormat="1" x14ac:dyDescent="0.45">
      <c r="A61" s="1" t="s">
        <v>26</v>
      </c>
      <c r="B61">
        <v>45762</v>
      </c>
      <c r="C61">
        <v>47989</v>
      </c>
      <c r="D61">
        <v>58349</v>
      </c>
      <c r="E61">
        <v>82819</v>
      </c>
      <c r="F61">
        <v>86047</v>
      </c>
      <c r="G61">
        <v>88921</v>
      </c>
      <c r="H61">
        <v>93250</v>
      </c>
      <c r="I61">
        <v>99006</v>
      </c>
      <c r="J61">
        <v>104480</v>
      </c>
      <c r="K61">
        <v>115112</v>
      </c>
    </row>
    <row r="62" spans="1:11" x14ac:dyDescent="0.45">
      <c r="A62" s="6" t="s">
        <v>27</v>
      </c>
      <c r="B62">
        <v>15235</v>
      </c>
      <c r="C62">
        <v>18753</v>
      </c>
      <c r="D62">
        <v>22888</v>
      </c>
      <c r="E62">
        <v>37490</v>
      </c>
      <c r="F62">
        <v>37145</v>
      </c>
      <c r="G62">
        <v>35077</v>
      </c>
      <c r="H62">
        <v>34619</v>
      </c>
      <c r="I62">
        <v>35063</v>
      </c>
      <c r="J62">
        <v>36172</v>
      </c>
      <c r="K62">
        <v>37297</v>
      </c>
    </row>
    <row r="63" spans="1:11" x14ac:dyDescent="0.45">
      <c r="A63" s="6" t="s">
        <v>28</v>
      </c>
      <c r="B63">
        <v>448</v>
      </c>
      <c r="C63">
        <v>320</v>
      </c>
      <c r="D63">
        <v>235</v>
      </c>
      <c r="E63">
        <v>400</v>
      </c>
      <c r="F63">
        <v>312</v>
      </c>
      <c r="G63">
        <v>129</v>
      </c>
      <c r="H63">
        <v>40</v>
      </c>
      <c r="I63">
        <v>108</v>
      </c>
      <c r="J63">
        <v>59</v>
      </c>
      <c r="K63">
        <v>142</v>
      </c>
    </row>
    <row r="64" spans="1:11" x14ac:dyDescent="0.45">
      <c r="A64" s="6" t="s">
        <v>29</v>
      </c>
      <c r="B64">
        <v>1306</v>
      </c>
      <c r="C64">
        <v>2660</v>
      </c>
      <c r="D64">
        <v>2305</v>
      </c>
      <c r="E64">
        <v>7066</v>
      </c>
      <c r="F64">
        <v>6862</v>
      </c>
      <c r="G64">
        <v>6351</v>
      </c>
      <c r="H64">
        <v>5495</v>
      </c>
      <c r="I64">
        <v>7137</v>
      </c>
      <c r="J64">
        <v>7564</v>
      </c>
      <c r="K64">
        <v>7090</v>
      </c>
    </row>
    <row r="65" spans="1:11" x14ac:dyDescent="0.45">
      <c r="A65" s="6" t="s">
        <v>64</v>
      </c>
      <c r="B65">
        <v>28773</v>
      </c>
      <c r="C65">
        <v>26256</v>
      </c>
      <c r="D65">
        <v>32921</v>
      </c>
      <c r="E65">
        <v>37863</v>
      </c>
      <c r="F65">
        <v>41728</v>
      </c>
      <c r="G65">
        <v>47364</v>
      </c>
      <c r="H65">
        <v>53096</v>
      </c>
      <c r="I65">
        <v>56698</v>
      </c>
      <c r="J65">
        <v>60685</v>
      </c>
      <c r="K65">
        <v>70583</v>
      </c>
    </row>
    <row r="66" spans="1:11" s="1" customFormat="1" x14ac:dyDescent="0.45">
      <c r="A66" s="1" t="s">
        <v>26</v>
      </c>
      <c r="B66">
        <v>45762</v>
      </c>
      <c r="C66">
        <v>47989</v>
      </c>
      <c r="D66">
        <v>58349</v>
      </c>
      <c r="E66">
        <v>82819</v>
      </c>
      <c r="F66">
        <v>86047</v>
      </c>
      <c r="G66">
        <v>88921</v>
      </c>
      <c r="H66">
        <v>93250</v>
      </c>
      <c r="I66">
        <v>99006</v>
      </c>
      <c r="J66">
        <v>104480</v>
      </c>
      <c r="K66">
        <v>115112</v>
      </c>
    </row>
    <row r="67" spans="1:11" s="6" customFormat="1" x14ac:dyDescent="0.45">
      <c r="A67" s="6" t="s">
        <v>69</v>
      </c>
      <c r="B67">
        <v>8301</v>
      </c>
      <c r="C67">
        <v>9639</v>
      </c>
      <c r="D67">
        <v>11706</v>
      </c>
      <c r="E67">
        <v>14131</v>
      </c>
      <c r="F67">
        <v>17525</v>
      </c>
      <c r="G67">
        <v>20671</v>
      </c>
      <c r="H67">
        <v>25506</v>
      </c>
      <c r="I67">
        <v>25521</v>
      </c>
      <c r="J67">
        <v>25842</v>
      </c>
      <c r="K67">
        <v>31541</v>
      </c>
    </row>
    <row r="68" spans="1:11" x14ac:dyDescent="0.45">
      <c r="A68" s="6" t="s">
        <v>45</v>
      </c>
      <c r="B68">
        <v>276</v>
      </c>
      <c r="C68">
        <v>172</v>
      </c>
      <c r="D68">
        <v>91</v>
      </c>
      <c r="E68">
        <v>91</v>
      </c>
      <c r="F68">
        <v>94</v>
      </c>
      <c r="G68">
        <v>161</v>
      </c>
      <c r="H68">
        <v>228</v>
      </c>
      <c r="I68">
        <v>185</v>
      </c>
      <c r="J68">
        <v>133</v>
      </c>
      <c r="K68">
        <v>239</v>
      </c>
    </row>
    <row r="69" spans="1:11" x14ac:dyDescent="0.45">
      <c r="A69" s="4" t="s">
        <v>78</v>
      </c>
      <c r="B69">
        <v>9044</v>
      </c>
      <c r="C69">
        <v>4018</v>
      </c>
      <c r="D69">
        <v>7872</v>
      </c>
      <c r="E69">
        <v>4976</v>
      </c>
      <c r="F69">
        <v>8888</v>
      </c>
      <c r="G69">
        <v>12636</v>
      </c>
      <c r="H69">
        <v>14724</v>
      </c>
      <c r="I69">
        <v>20150</v>
      </c>
      <c r="J69">
        <v>21289</v>
      </c>
      <c r="K69">
        <v>23425</v>
      </c>
    </row>
    <row r="70" spans="1:11" x14ac:dyDescent="0.45">
      <c r="A70" s="4" t="s">
        <v>65</v>
      </c>
      <c r="B70">
        <v>1426783424</v>
      </c>
      <c r="C70">
        <v>1392246384</v>
      </c>
      <c r="D70">
        <v>1356278868</v>
      </c>
      <c r="E70">
        <v>2713665096</v>
      </c>
      <c r="F70">
        <v>2713665096</v>
      </c>
      <c r="G70">
        <v>2713665096</v>
      </c>
      <c r="H70">
        <v>2713665096</v>
      </c>
      <c r="I70">
        <v>2713665096</v>
      </c>
      <c r="J70">
        <v>2713665096</v>
      </c>
      <c r="K70">
        <v>2713665096</v>
      </c>
    </row>
    <row r="71" spans="1:11" x14ac:dyDescent="0.45">
      <c r="A71" s="4" t="s">
        <v>66</v>
      </c>
    </row>
    <row r="72" spans="1:11" x14ac:dyDescent="0.45">
      <c r="A72" s="4" t="s">
        <v>79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45">
      <c r="A74" s="6"/>
    </row>
    <row r="75" spans="1:11" x14ac:dyDescent="0.45">
      <c r="A75" s="6"/>
    </row>
    <row r="76" spans="1:11" x14ac:dyDescent="0.45">
      <c r="A76" s="6"/>
    </row>
    <row r="77" spans="1:11" x14ac:dyDescent="0.45">
      <c r="A77" s="6"/>
    </row>
    <row r="78" spans="1:11" x14ac:dyDescent="0.45">
      <c r="A78" s="6"/>
    </row>
    <row r="79" spans="1:11" x14ac:dyDescent="0.45">
      <c r="A79" s="6"/>
    </row>
    <row r="80" spans="1:11" x14ac:dyDescent="0.45">
      <c r="A80" s="1" t="s">
        <v>41</v>
      </c>
    </row>
    <row r="81" spans="1:11" s="18" customFormat="1" x14ac:dyDescent="0.4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45">
      <c r="A82" s="6" t="s">
        <v>32</v>
      </c>
      <c r="B82">
        <v>8995</v>
      </c>
      <c r="C82">
        <v>8328</v>
      </c>
      <c r="D82">
        <v>8971</v>
      </c>
      <c r="E82">
        <v>13359</v>
      </c>
      <c r="F82">
        <v>19618</v>
      </c>
      <c r="G82">
        <v>16900</v>
      </c>
      <c r="H82">
        <v>18009</v>
      </c>
      <c r="I82">
        <v>22448</v>
      </c>
      <c r="J82">
        <v>22261</v>
      </c>
      <c r="K82">
        <v>19975</v>
      </c>
    </row>
    <row r="83" spans="1:11" s="6" customFormat="1" x14ac:dyDescent="0.45">
      <c r="A83" s="6" t="s">
        <v>33</v>
      </c>
      <c r="B83">
        <v>-3890</v>
      </c>
      <c r="C83">
        <v>-2236</v>
      </c>
      <c r="D83">
        <v>-3256</v>
      </c>
      <c r="E83">
        <v>-12332</v>
      </c>
      <c r="F83">
        <v>-5665</v>
      </c>
      <c r="G83">
        <v>1597</v>
      </c>
      <c r="H83">
        <v>-3573</v>
      </c>
      <c r="I83">
        <v>-6608</v>
      </c>
      <c r="J83">
        <v>-4896</v>
      </c>
      <c r="K83">
        <v>-656</v>
      </c>
    </row>
    <row r="84" spans="1:11" s="6" customFormat="1" x14ac:dyDescent="0.45">
      <c r="A84" s="6" t="s">
        <v>34</v>
      </c>
      <c r="B84">
        <v>-4517</v>
      </c>
      <c r="C84">
        <v>-5714</v>
      </c>
      <c r="D84">
        <v>-1471</v>
      </c>
      <c r="E84">
        <v>-3168</v>
      </c>
      <c r="F84">
        <v>-11192</v>
      </c>
      <c r="G84">
        <v>-14508</v>
      </c>
      <c r="H84">
        <v>-15881</v>
      </c>
      <c r="I84">
        <v>-15464</v>
      </c>
      <c r="J84">
        <v>-18561</v>
      </c>
      <c r="K84">
        <v>-19369</v>
      </c>
    </row>
    <row r="85" spans="1:11" s="1" customFormat="1" x14ac:dyDescent="0.45">
      <c r="A85" s="6" t="s">
        <v>35</v>
      </c>
      <c r="B85">
        <v>588</v>
      </c>
      <c r="C85">
        <v>378</v>
      </c>
      <c r="D85">
        <v>4244</v>
      </c>
      <c r="E85">
        <v>-2141</v>
      </c>
      <c r="F85">
        <v>2761</v>
      </c>
      <c r="G85">
        <v>3989</v>
      </c>
      <c r="H85">
        <v>-1445</v>
      </c>
      <c r="I85">
        <v>376</v>
      </c>
      <c r="J85">
        <v>-1196</v>
      </c>
      <c r="K85">
        <v>-50</v>
      </c>
    </row>
    <row r="86" spans="1:11" x14ac:dyDescent="0.45">
      <c r="A86" s="6"/>
    </row>
    <row r="87" spans="1:11" x14ac:dyDescent="0.45">
      <c r="A87" s="6"/>
    </row>
    <row r="88" spans="1:11" x14ac:dyDescent="0.45">
      <c r="A88" s="6"/>
    </row>
    <row r="89" spans="1:11" x14ac:dyDescent="0.45">
      <c r="A89" s="6"/>
    </row>
    <row r="90" spans="1:11" s="1" customFormat="1" x14ac:dyDescent="0.45">
      <c r="A90" s="1" t="s">
        <v>68</v>
      </c>
      <c r="B90">
        <v>437.38</v>
      </c>
      <c r="C90">
        <v>484.3</v>
      </c>
      <c r="D90">
        <v>543.73</v>
      </c>
      <c r="E90">
        <v>436.4</v>
      </c>
      <c r="F90">
        <v>982.65</v>
      </c>
      <c r="G90">
        <v>1163.75</v>
      </c>
      <c r="H90">
        <v>1085.25</v>
      </c>
      <c r="I90">
        <v>1543.55</v>
      </c>
      <c r="J90">
        <v>1592.5</v>
      </c>
      <c r="K90">
        <v>1341.6</v>
      </c>
    </row>
    <row r="92" spans="1:11" s="1" customFormat="1" x14ac:dyDescent="0.45">
      <c r="A92" s="1" t="s">
        <v>67</v>
      </c>
    </row>
    <row r="93" spans="1:11" x14ac:dyDescent="0.45">
      <c r="A93" s="4" t="s">
        <v>80</v>
      </c>
      <c r="B93" s="20">
        <v>285.36</v>
      </c>
      <c r="C93" s="20">
        <v>278.45</v>
      </c>
      <c r="D93" s="20">
        <v>271.26</v>
      </c>
      <c r="E93" s="20">
        <v>271.37</v>
      </c>
      <c r="F93" s="20">
        <v>271.37</v>
      </c>
      <c r="G93" s="20">
        <v>271.37</v>
      </c>
      <c r="H93" s="20">
        <v>271.37</v>
      </c>
      <c r="I93" s="20">
        <v>271.37</v>
      </c>
      <c r="J93" s="20">
        <v>271.37</v>
      </c>
      <c r="K93" s="20">
        <v>271.37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Profit &amp; Loss</vt:lpstr>
      <vt:lpstr>Quarters</vt:lpstr>
      <vt:lpstr>Balance Sheet</vt:lpstr>
      <vt:lpstr>Cash Flow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Prasad Girigosavi</cp:lastModifiedBy>
  <cp:lastPrinted>2012-12-06T18:14:13Z</cp:lastPrinted>
  <dcterms:created xsi:type="dcterms:W3CDTF">2012-08-17T09:55:37Z</dcterms:created>
  <dcterms:modified xsi:type="dcterms:W3CDTF">2026-08-14T15:49:20Z</dcterms:modified>
</cp:coreProperties>
</file>